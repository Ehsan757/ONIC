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-105" yWindow="-105" windowWidth="20730" windowHeight="11760" activeTab="7"/>
  </bookViews>
  <sheets>
    <sheet name="HAVELLS" sheetId="9" r:id="rId1"/>
    <sheet name="Beta 1" sheetId="4" r:id="rId2"/>
    <sheet name="WACC 1" sheetId="5" r:id="rId3"/>
    <sheet name="DCF 1" sheetId="13" r:id="rId4"/>
    <sheet name="ALSTOM" sheetId="10" r:id="rId5"/>
    <sheet name="Beta 2" sheetId="6" r:id="rId6"/>
    <sheet name="Wacc2" sheetId="12" r:id="rId7"/>
    <sheet name="DCF 2" sheetId="15" r:id="rId8"/>
  </sheets>
  <externalReferences>
    <externalReference r:id="rId9"/>
  </externalReferences>
  <calcPr calcId="144525"/>
  <fileRecoveryPr repairLoad="1"/>
</workbook>
</file>

<file path=xl/calcChain.xml><?xml version="1.0" encoding="utf-8"?>
<calcChain xmlns="http://schemas.openxmlformats.org/spreadsheetml/2006/main">
  <c r="J9" i="15" l="1"/>
  <c r="I9" i="15"/>
  <c r="H9" i="15"/>
  <c r="G9" i="15"/>
  <c r="J8" i="15"/>
  <c r="I8" i="15"/>
  <c r="H8" i="15"/>
  <c r="G8" i="15"/>
  <c r="P15" i="13"/>
  <c r="J33" i="12"/>
  <c r="J31" i="12"/>
  <c r="K24" i="12"/>
  <c r="D21" i="12"/>
  <c r="AA33" i="6"/>
  <c r="AA32" i="6"/>
  <c r="Z33" i="6"/>
  <c r="Z32" i="6"/>
  <c r="Y33" i="6"/>
  <c r="Y32" i="6"/>
  <c r="N9" i="6" l="1"/>
  <c r="G9" i="6"/>
  <c r="G7" i="6"/>
  <c r="G9" i="4"/>
  <c r="G7" i="4"/>
  <c r="N7" i="4"/>
  <c r="N9" i="4"/>
  <c r="AB25" i="4"/>
  <c r="AB24" i="4"/>
  <c r="K15" i="4" l="1"/>
  <c r="K8" i="4"/>
  <c r="K9" i="4"/>
  <c r="K10" i="4"/>
  <c r="K11" i="4"/>
  <c r="K12" i="4"/>
  <c r="K13" i="4"/>
  <c r="K14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7" i="4"/>
  <c r="D22" i="12"/>
  <c r="Q9" i="15" s="1"/>
  <c r="Z4" i="13"/>
  <c r="Y4" i="13"/>
  <c r="P7" i="13"/>
  <c r="P6" i="13"/>
  <c r="N5" i="13"/>
  <c r="R2" i="13"/>
  <c r="Q2" i="13"/>
  <c r="AE5" i="13"/>
  <c r="AG2" i="13"/>
  <c r="AF2" i="13"/>
  <c r="S10" i="13"/>
  <c r="F3" i="13"/>
  <c r="G3" i="13" s="1"/>
  <c r="H3" i="13" s="1"/>
  <c r="I3" i="13" s="1"/>
  <c r="J3" i="13" s="1"/>
  <c r="J4" i="13" s="1"/>
  <c r="E2" i="13"/>
  <c r="F2" i="13" s="1"/>
  <c r="G2" i="13" s="1"/>
  <c r="H2" i="13" s="1"/>
  <c r="I2" i="13" s="1"/>
  <c r="J2" i="13" s="1"/>
  <c r="D2" i="13"/>
  <c r="Q8" i="15"/>
  <c r="Q15" i="15"/>
  <c r="D12" i="15"/>
  <c r="D5" i="15"/>
  <c r="D7" i="15"/>
  <c r="D10" i="15"/>
  <c r="Q7" i="15"/>
  <c r="F9" i="15"/>
  <c r="E9" i="15"/>
  <c r="D9" i="15"/>
  <c r="R6" i="15"/>
  <c r="Q5" i="15"/>
  <c r="R5" i="15"/>
  <c r="S5" i="15"/>
  <c r="S2" i="15"/>
  <c r="R2" i="15"/>
  <c r="V5" i="15"/>
  <c r="AG4" i="15"/>
  <c r="G2" i="15"/>
  <c r="H2" i="15" s="1"/>
  <c r="I2" i="15" s="1"/>
  <c r="J2" i="15" s="1"/>
  <c r="F2" i="15"/>
  <c r="E2" i="15"/>
  <c r="F13" i="12"/>
  <c r="F11" i="5"/>
  <c r="K32" i="12"/>
  <c r="L20" i="12"/>
  <c r="L19" i="12"/>
  <c r="K20" i="12"/>
  <c r="N12" i="12"/>
  <c r="N11" i="12"/>
  <c r="K9" i="5"/>
  <c r="D22" i="5"/>
  <c r="D19" i="5"/>
  <c r="O11" i="5"/>
  <c r="O12" i="5" s="1"/>
  <c r="J32" i="12" l="1"/>
  <c r="F4" i="13"/>
  <c r="Q5" i="13"/>
  <c r="P5" i="13"/>
  <c r="AG4" i="13" l="1"/>
  <c r="U4" i="6" l="1"/>
  <c r="Q10" i="15" l="1"/>
  <c r="E5" i="15"/>
  <c r="E7" i="15" s="1"/>
  <c r="E10" i="15" s="1"/>
  <c r="E12" i="15" s="1"/>
  <c r="AA4" i="15"/>
  <c r="Z4" i="15"/>
  <c r="Y4" i="15"/>
  <c r="S4" i="15"/>
  <c r="R4" i="15"/>
  <c r="Q4" i="15"/>
  <c r="F5" i="15"/>
  <c r="F7" i="15" s="1"/>
  <c r="F10" i="15" s="1"/>
  <c r="F12" i="15" s="1"/>
  <c r="AI3" i="15"/>
  <c r="AH3" i="15"/>
  <c r="AG3" i="15"/>
  <c r="AA3" i="15"/>
  <c r="Z3" i="15"/>
  <c r="Y3" i="15"/>
  <c r="W3" i="15"/>
  <c r="V3" i="15"/>
  <c r="U3" i="15"/>
  <c r="G3" i="15"/>
  <c r="G4" i="15" s="1"/>
  <c r="Q11" i="15"/>
  <c r="K11" i="12"/>
  <c r="K19" i="12" s="1"/>
  <c r="F11" i="12"/>
  <c r="K10" i="12"/>
  <c r="K9" i="12"/>
  <c r="D19" i="12" s="1"/>
  <c r="K637" i="6"/>
  <c r="I637" i="6"/>
  <c r="D637" i="6"/>
  <c r="K636" i="6"/>
  <c r="I636" i="6"/>
  <c r="D636" i="6"/>
  <c r="K635" i="6"/>
  <c r="I635" i="6"/>
  <c r="D635" i="6"/>
  <c r="K634" i="6"/>
  <c r="I634" i="6"/>
  <c r="D634" i="6"/>
  <c r="K633" i="6"/>
  <c r="I633" i="6"/>
  <c r="D633" i="6"/>
  <c r="K632" i="6"/>
  <c r="I632" i="6"/>
  <c r="D632" i="6"/>
  <c r="K631" i="6"/>
  <c r="I631" i="6"/>
  <c r="D631" i="6"/>
  <c r="K630" i="6"/>
  <c r="I630" i="6"/>
  <c r="D630" i="6"/>
  <c r="K629" i="6"/>
  <c r="I629" i="6"/>
  <c r="D629" i="6"/>
  <c r="K628" i="6"/>
  <c r="I628" i="6"/>
  <c r="D628" i="6"/>
  <c r="K627" i="6"/>
  <c r="I627" i="6"/>
  <c r="D627" i="6"/>
  <c r="K626" i="6"/>
  <c r="I626" i="6"/>
  <c r="D626" i="6"/>
  <c r="K625" i="6"/>
  <c r="I625" i="6"/>
  <c r="D625" i="6"/>
  <c r="K624" i="6"/>
  <c r="I624" i="6"/>
  <c r="D624" i="6"/>
  <c r="K623" i="6"/>
  <c r="I623" i="6"/>
  <c r="D623" i="6"/>
  <c r="K622" i="6"/>
  <c r="I622" i="6"/>
  <c r="D622" i="6"/>
  <c r="K621" i="6"/>
  <c r="I621" i="6"/>
  <c r="D621" i="6"/>
  <c r="K620" i="6"/>
  <c r="I620" i="6"/>
  <c r="D620" i="6"/>
  <c r="K619" i="6"/>
  <c r="I619" i="6"/>
  <c r="D619" i="6"/>
  <c r="K618" i="6"/>
  <c r="I618" i="6"/>
  <c r="D618" i="6"/>
  <c r="K617" i="6"/>
  <c r="I617" i="6"/>
  <c r="D617" i="6"/>
  <c r="K616" i="6"/>
  <c r="I616" i="6"/>
  <c r="D616" i="6"/>
  <c r="K615" i="6"/>
  <c r="I615" i="6"/>
  <c r="D615" i="6"/>
  <c r="K614" i="6"/>
  <c r="I614" i="6"/>
  <c r="D614" i="6"/>
  <c r="K613" i="6"/>
  <c r="I613" i="6"/>
  <c r="D613" i="6"/>
  <c r="K612" i="6"/>
  <c r="I612" i="6"/>
  <c r="D612" i="6"/>
  <c r="K611" i="6"/>
  <c r="I611" i="6"/>
  <c r="D611" i="6"/>
  <c r="K610" i="6"/>
  <c r="I610" i="6"/>
  <c r="D610" i="6"/>
  <c r="K609" i="6"/>
  <c r="I609" i="6"/>
  <c r="D609" i="6"/>
  <c r="K608" i="6"/>
  <c r="I608" i="6"/>
  <c r="D608" i="6"/>
  <c r="K607" i="6"/>
  <c r="I607" i="6"/>
  <c r="D607" i="6"/>
  <c r="K606" i="6"/>
  <c r="I606" i="6"/>
  <c r="D606" i="6"/>
  <c r="K605" i="6"/>
  <c r="I605" i="6"/>
  <c r="D605" i="6"/>
  <c r="K604" i="6"/>
  <c r="I604" i="6"/>
  <c r="D604" i="6"/>
  <c r="K603" i="6"/>
  <c r="I603" i="6"/>
  <c r="D603" i="6"/>
  <c r="K602" i="6"/>
  <c r="I602" i="6"/>
  <c r="D602" i="6"/>
  <c r="K601" i="6"/>
  <c r="I601" i="6"/>
  <c r="D601" i="6"/>
  <c r="K600" i="6"/>
  <c r="I600" i="6"/>
  <c r="D600" i="6"/>
  <c r="K599" i="6"/>
  <c r="I599" i="6"/>
  <c r="D599" i="6"/>
  <c r="K598" i="6"/>
  <c r="I598" i="6"/>
  <c r="D598" i="6"/>
  <c r="K597" i="6"/>
  <c r="I597" i="6"/>
  <c r="D597" i="6"/>
  <c r="K596" i="6"/>
  <c r="I596" i="6"/>
  <c r="D596" i="6"/>
  <c r="K595" i="6"/>
  <c r="I595" i="6"/>
  <c r="D595" i="6"/>
  <c r="K594" i="6"/>
  <c r="I594" i="6"/>
  <c r="D594" i="6"/>
  <c r="K593" i="6"/>
  <c r="I593" i="6"/>
  <c r="D593" i="6"/>
  <c r="K592" i="6"/>
  <c r="I592" i="6"/>
  <c r="D592" i="6"/>
  <c r="K591" i="6"/>
  <c r="I591" i="6"/>
  <c r="D591" i="6"/>
  <c r="K590" i="6"/>
  <c r="I590" i="6"/>
  <c r="D590" i="6"/>
  <c r="K589" i="6"/>
  <c r="I589" i="6"/>
  <c r="D589" i="6"/>
  <c r="K588" i="6"/>
  <c r="I588" i="6"/>
  <c r="D588" i="6"/>
  <c r="K587" i="6"/>
  <c r="I587" i="6"/>
  <c r="D587" i="6"/>
  <c r="K586" i="6"/>
  <c r="I586" i="6"/>
  <c r="D586" i="6"/>
  <c r="K585" i="6"/>
  <c r="I585" i="6"/>
  <c r="D585" i="6"/>
  <c r="K584" i="6"/>
  <c r="I584" i="6"/>
  <c r="D584" i="6"/>
  <c r="K583" i="6"/>
  <c r="I583" i="6"/>
  <c r="D583" i="6"/>
  <c r="K582" i="6"/>
  <c r="I582" i="6"/>
  <c r="D582" i="6"/>
  <c r="K581" i="6"/>
  <c r="I581" i="6"/>
  <c r="D581" i="6"/>
  <c r="K580" i="6"/>
  <c r="I580" i="6"/>
  <c r="D580" i="6"/>
  <c r="K579" i="6"/>
  <c r="I579" i="6"/>
  <c r="D579" i="6"/>
  <c r="K578" i="6"/>
  <c r="I578" i="6"/>
  <c r="D578" i="6"/>
  <c r="K577" i="6"/>
  <c r="I577" i="6"/>
  <c r="D577" i="6"/>
  <c r="K576" i="6"/>
  <c r="I576" i="6"/>
  <c r="D576" i="6"/>
  <c r="K575" i="6"/>
  <c r="I575" i="6"/>
  <c r="D575" i="6"/>
  <c r="K574" i="6"/>
  <c r="I574" i="6"/>
  <c r="D574" i="6"/>
  <c r="K573" i="6"/>
  <c r="I573" i="6"/>
  <c r="D573" i="6"/>
  <c r="K572" i="6"/>
  <c r="I572" i="6"/>
  <c r="D572" i="6"/>
  <c r="K571" i="6"/>
  <c r="I571" i="6"/>
  <c r="D571" i="6"/>
  <c r="K570" i="6"/>
  <c r="I570" i="6"/>
  <c r="D570" i="6"/>
  <c r="K569" i="6"/>
  <c r="I569" i="6"/>
  <c r="D569" i="6"/>
  <c r="K568" i="6"/>
  <c r="I568" i="6"/>
  <c r="D568" i="6"/>
  <c r="K567" i="6"/>
  <c r="I567" i="6"/>
  <c r="D567" i="6"/>
  <c r="K566" i="6"/>
  <c r="I566" i="6"/>
  <c r="D566" i="6"/>
  <c r="K565" i="6"/>
  <c r="I565" i="6"/>
  <c r="D565" i="6"/>
  <c r="K564" i="6"/>
  <c r="I564" i="6"/>
  <c r="D564" i="6"/>
  <c r="K563" i="6"/>
  <c r="I563" i="6"/>
  <c r="D563" i="6"/>
  <c r="K562" i="6"/>
  <c r="I562" i="6"/>
  <c r="D562" i="6"/>
  <c r="K561" i="6"/>
  <c r="I561" i="6"/>
  <c r="D561" i="6"/>
  <c r="K560" i="6"/>
  <c r="I560" i="6"/>
  <c r="D560" i="6"/>
  <c r="K559" i="6"/>
  <c r="I559" i="6"/>
  <c r="D559" i="6"/>
  <c r="K558" i="6"/>
  <c r="I558" i="6"/>
  <c r="D558" i="6"/>
  <c r="K557" i="6"/>
  <c r="I557" i="6"/>
  <c r="D557" i="6"/>
  <c r="K556" i="6"/>
  <c r="I556" i="6"/>
  <c r="D556" i="6"/>
  <c r="K555" i="6"/>
  <c r="I555" i="6"/>
  <c r="D555" i="6"/>
  <c r="K554" i="6"/>
  <c r="I554" i="6"/>
  <c r="D554" i="6"/>
  <c r="K553" i="6"/>
  <c r="I553" i="6"/>
  <c r="D553" i="6"/>
  <c r="K552" i="6"/>
  <c r="I552" i="6"/>
  <c r="D552" i="6"/>
  <c r="K551" i="6"/>
  <c r="I551" i="6"/>
  <c r="D551" i="6"/>
  <c r="K550" i="6"/>
  <c r="I550" i="6"/>
  <c r="D550" i="6"/>
  <c r="K549" i="6"/>
  <c r="I549" i="6"/>
  <c r="D549" i="6"/>
  <c r="K548" i="6"/>
  <c r="I548" i="6"/>
  <c r="D548" i="6"/>
  <c r="K547" i="6"/>
  <c r="I547" i="6"/>
  <c r="D547" i="6"/>
  <c r="K546" i="6"/>
  <c r="I546" i="6"/>
  <c r="D546" i="6"/>
  <c r="K545" i="6"/>
  <c r="I545" i="6"/>
  <c r="D545" i="6"/>
  <c r="K544" i="6"/>
  <c r="I544" i="6"/>
  <c r="D544" i="6"/>
  <c r="K543" i="6"/>
  <c r="I543" i="6"/>
  <c r="D543" i="6"/>
  <c r="K542" i="6"/>
  <c r="I542" i="6"/>
  <c r="D542" i="6"/>
  <c r="K541" i="6"/>
  <c r="I541" i="6"/>
  <c r="D541" i="6"/>
  <c r="K540" i="6"/>
  <c r="I540" i="6"/>
  <c r="D540" i="6"/>
  <c r="K539" i="6"/>
  <c r="I539" i="6"/>
  <c r="D539" i="6"/>
  <c r="K538" i="6"/>
  <c r="I538" i="6"/>
  <c r="D538" i="6"/>
  <c r="K537" i="6"/>
  <c r="I537" i="6"/>
  <c r="D537" i="6"/>
  <c r="K536" i="6"/>
  <c r="I536" i="6"/>
  <c r="D536" i="6"/>
  <c r="K535" i="6"/>
  <c r="I535" i="6"/>
  <c r="D535" i="6"/>
  <c r="K534" i="6"/>
  <c r="I534" i="6"/>
  <c r="D534" i="6"/>
  <c r="K533" i="6"/>
  <c r="I533" i="6"/>
  <c r="D533" i="6"/>
  <c r="K532" i="6"/>
  <c r="I532" i="6"/>
  <c r="D532" i="6"/>
  <c r="K531" i="6"/>
  <c r="I531" i="6"/>
  <c r="D531" i="6"/>
  <c r="K530" i="6"/>
  <c r="I530" i="6"/>
  <c r="D530" i="6"/>
  <c r="K529" i="6"/>
  <c r="I529" i="6"/>
  <c r="D529" i="6"/>
  <c r="K528" i="6"/>
  <c r="I528" i="6"/>
  <c r="D528" i="6"/>
  <c r="K527" i="6"/>
  <c r="I527" i="6"/>
  <c r="D527" i="6"/>
  <c r="K526" i="6"/>
  <c r="I526" i="6"/>
  <c r="D526" i="6"/>
  <c r="K525" i="6"/>
  <c r="I525" i="6"/>
  <c r="D525" i="6"/>
  <c r="K524" i="6"/>
  <c r="I524" i="6"/>
  <c r="D524" i="6"/>
  <c r="K523" i="6"/>
  <c r="I523" i="6"/>
  <c r="D523" i="6"/>
  <c r="K522" i="6"/>
  <c r="I522" i="6"/>
  <c r="D522" i="6"/>
  <c r="K521" i="6"/>
  <c r="I521" i="6"/>
  <c r="D521" i="6"/>
  <c r="K520" i="6"/>
  <c r="I520" i="6"/>
  <c r="D520" i="6"/>
  <c r="K519" i="6"/>
  <c r="I519" i="6"/>
  <c r="D519" i="6"/>
  <c r="K518" i="6"/>
  <c r="I518" i="6"/>
  <c r="D518" i="6"/>
  <c r="K517" i="6"/>
  <c r="I517" i="6"/>
  <c r="D517" i="6"/>
  <c r="K516" i="6"/>
  <c r="I516" i="6"/>
  <c r="D516" i="6"/>
  <c r="K515" i="6"/>
  <c r="I515" i="6"/>
  <c r="D515" i="6"/>
  <c r="K514" i="6"/>
  <c r="I514" i="6"/>
  <c r="D514" i="6"/>
  <c r="K513" i="6"/>
  <c r="I513" i="6"/>
  <c r="D513" i="6"/>
  <c r="K512" i="6"/>
  <c r="I512" i="6"/>
  <c r="D512" i="6"/>
  <c r="K511" i="6"/>
  <c r="I511" i="6"/>
  <c r="D511" i="6"/>
  <c r="K510" i="6"/>
  <c r="I510" i="6"/>
  <c r="D510" i="6"/>
  <c r="K509" i="6"/>
  <c r="I509" i="6"/>
  <c r="D509" i="6"/>
  <c r="K508" i="6"/>
  <c r="I508" i="6"/>
  <c r="D508" i="6"/>
  <c r="K507" i="6"/>
  <c r="I507" i="6"/>
  <c r="D507" i="6"/>
  <c r="K506" i="6"/>
  <c r="I506" i="6"/>
  <c r="D506" i="6"/>
  <c r="K505" i="6"/>
  <c r="I505" i="6"/>
  <c r="D505" i="6"/>
  <c r="K504" i="6"/>
  <c r="I504" i="6"/>
  <c r="D504" i="6"/>
  <c r="K503" i="6"/>
  <c r="I503" i="6"/>
  <c r="D503" i="6"/>
  <c r="K502" i="6"/>
  <c r="I502" i="6"/>
  <c r="D502" i="6"/>
  <c r="K501" i="6"/>
  <c r="I501" i="6"/>
  <c r="D501" i="6"/>
  <c r="K500" i="6"/>
  <c r="I500" i="6"/>
  <c r="D500" i="6"/>
  <c r="K499" i="6"/>
  <c r="I499" i="6"/>
  <c r="D499" i="6"/>
  <c r="K498" i="6"/>
  <c r="I498" i="6"/>
  <c r="D498" i="6"/>
  <c r="K497" i="6"/>
  <c r="I497" i="6"/>
  <c r="D497" i="6"/>
  <c r="K496" i="6"/>
  <c r="I496" i="6"/>
  <c r="D496" i="6"/>
  <c r="K495" i="6"/>
  <c r="I495" i="6"/>
  <c r="D495" i="6"/>
  <c r="K494" i="6"/>
  <c r="I494" i="6"/>
  <c r="D494" i="6"/>
  <c r="K493" i="6"/>
  <c r="I493" i="6"/>
  <c r="D493" i="6"/>
  <c r="K492" i="6"/>
  <c r="I492" i="6"/>
  <c r="D492" i="6"/>
  <c r="K491" i="6"/>
  <c r="I491" i="6"/>
  <c r="D491" i="6"/>
  <c r="K490" i="6"/>
  <c r="I490" i="6"/>
  <c r="D490" i="6"/>
  <c r="K489" i="6"/>
  <c r="I489" i="6"/>
  <c r="D489" i="6"/>
  <c r="K488" i="6"/>
  <c r="I488" i="6"/>
  <c r="D488" i="6"/>
  <c r="K487" i="6"/>
  <c r="I487" i="6"/>
  <c r="D487" i="6"/>
  <c r="K486" i="6"/>
  <c r="I486" i="6"/>
  <c r="D486" i="6"/>
  <c r="K485" i="6"/>
  <c r="I485" i="6"/>
  <c r="D485" i="6"/>
  <c r="K484" i="6"/>
  <c r="I484" i="6"/>
  <c r="D484" i="6"/>
  <c r="K483" i="6"/>
  <c r="I483" i="6"/>
  <c r="D483" i="6"/>
  <c r="K482" i="6"/>
  <c r="I482" i="6"/>
  <c r="D482" i="6"/>
  <c r="K481" i="6"/>
  <c r="I481" i="6"/>
  <c r="D481" i="6"/>
  <c r="K480" i="6"/>
  <c r="I480" i="6"/>
  <c r="D480" i="6"/>
  <c r="K479" i="6"/>
  <c r="I479" i="6"/>
  <c r="D479" i="6"/>
  <c r="K478" i="6"/>
  <c r="I478" i="6"/>
  <c r="D478" i="6"/>
  <c r="K477" i="6"/>
  <c r="I477" i="6"/>
  <c r="D477" i="6"/>
  <c r="K476" i="6"/>
  <c r="I476" i="6"/>
  <c r="D476" i="6"/>
  <c r="K475" i="6"/>
  <c r="I475" i="6"/>
  <c r="D475" i="6"/>
  <c r="K474" i="6"/>
  <c r="I474" i="6"/>
  <c r="D474" i="6"/>
  <c r="K473" i="6"/>
  <c r="I473" i="6"/>
  <c r="D473" i="6"/>
  <c r="K472" i="6"/>
  <c r="I472" i="6"/>
  <c r="D472" i="6"/>
  <c r="K471" i="6"/>
  <c r="I471" i="6"/>
  <c r="D471" i="6"/>
  <c r="K470" i="6"/>
  <c r="I470" i="6"/>
  <c r="D470" i="6"/>
  <c r="K469" i="6"/>
  <c r="I469" i="6"/>
  <c r="D469" i="6"/>
  <c r="K468" i="6"/>
  <c r="I468" i="6"/>
  <c r="D468" i="6"/>
  <c r="K467" i="6"/>
  <c r="I467" i="6"/>
  <c r="D467" i="6"/>
  <c r="K466" i="6"/>
  <c r="I466" i="6"/>
  <c r="D466" i="6"/>
  <c r="K465" i="6"/>
  <c r="I465" i="6"/>
  <c r="D465" i="6"/>
  <c r="K464" i="6"/>
  <c r="I464" i="6"/>
  <c r="D464" i="6"/>
  <c r="K463" i="6"/>
  <c r="I463" i="6"/>
  <c r="D463" i="6"/>
  <c r="K462" i="6"/>
  <c r="I462" i="6"/>
  <c r="D462" i="6"/>
  <c r="K461" i="6"/>
  <c r="I461" i="6"/>
  <c r="D461" i="6"/>
  <c r="K460" i="6"/>
  <c r="I460" i="6"/>
  <c r="D460" i="6"/>
  <c r="K459" i="6"/>
  <c r="I459" i="6"/>
  <c r="D459" i="6"/>
  <c r="K458" i="6"/>
  <c r="I458" i="6"/>
  <c r="D458" i="6"/>
  <c r="K457" i="6"/>
  <c r="I457" i="6"/>
  <c r="D457" i="6"/>
  <c r="K456" i="6"/>
  <c r="I456" i="6"/>
  <c r="D456" i="6"/>
  <c r="K455" i="6"/>
  <c r="I455" i="6"/>
  <c r="D455" i="6"/>
  <c r="K454" i="6"/>
  <c r="I454" i="6"/>
  <c r="D454" i="6"/>
  <c r="K453" i="6"/>
  <c r="I453" i="6"/>
  <c r="D453" i="6"/>
  <c r="K452" i="6"/>
  <c r="I452" i="6"/>
  <c r="D452" i="6"/>
  <c r="K451" i="6"/>
  <c r="I451" i="6"/>
  <c r="D451" i="6"/>
  <c r="K450" i="6"/>
  <c r="I450" i="6"/>
  <c r="D450" i="6"/>
  <c r="K449" i="6"/>
  <c r="I449" i="6"/>
  <c r="D449" i="6"/>
  <c r="K448" i="6"/>
  <c r="I448" i="6"/>
  <c r="D448" i="6"/>
  <c r="K447" i="6"/>
  <c r="I447" i="6"/>
  <c r="D447" i="6"/>
  <c r="K446" i="6"/>
  <c r="I446" i="6"/>
  <c r="D446" i="6"/>
  <c r="K445" i="6"/>
  <c r="I445" i="6"/>
  <c r="D445" i="6"/>
  <c r="K444" i="6"/>
  <c r="I444" i="6"/>
  <c r="D444" i="6"/>
  <c r="K443" i="6"/>
  <c r="I443" i="6"/>
  <c r="D443" i="6"/>
  <c r="K442" i="6"/>
  <c r="I442" i="6"/>
  <c r="D442" i="6"/>
  <c r="K441" i="6"/>
  <c r="I441" i="6"/>
  <c r="D441" i="6"/>
  <c r="K440" i="6"/>
  <c r="I440" i="6"/>
  <c r="D440" i="6"/>
  <c r="K439" i="6"/>
  <c r="I439" i="6"/>
  <c r="D439" i="6"/>
  <c r="K438" i="6"/>
  <c r="I438" i="6"/>
  <c r="D438" i="6"/>
  <c r="K437" i="6"/>
  <c r="I437" i="6"/>
  <c r="D437" i="6"/>
  <c r="K436" i="6"/>
  <c r="I436" i="6"/>
  <c r="D436" i="6"/>
  <c r="K435" i="6"/>
  <c r="I435" i="6"/>
  <c r="D435" i="6"/>
  <c r="K434" i="6"/>
  <c r="I434" i="6"/>
  <c r="D434" i="6"/>
  <c r="K433" i="6"/>
  <c r="I433" i="6"/>
  <c r="D433" i="6"/>
  <c r="K432" i="6"/>
  <c r="I432" i="6"/>
  <c r="D432" i="6"/>
  <c r="K431" i="6"/>
  <c r="I431" i="6"/>
  <c r="D431" i="6"/>
  <c r="K430" i="6"/>
  <c r="I430" i="6"/>
  <c r="D430" i="6"/>
  <c r="K429" i="6"/>
  <c r="I429" i="6"/>
  <c r="D429" i="6"/>
  <c r="K428" i="6"/>
  <c r="I428" i="6"/>
  <c r="D428" i="6"/>
  <c r="K427" i="6"/>
  <c r="I427" i="6"/>
  <c r="D427" i="6"/>
  <c r="K426" i="6"/>
  <c r="I426" i="6"/>
  <c r="D426" i="6"/>
  <c r="K425" i="6"/>
  <c r="I425" i="6"/>
  <c r="D425" i="6"/>
  <c r="K424" i="6"/>
  <c r="I424" i="6"/>
  <c r="D424" i="6"/>
  <c r="K423" i="6"/>
  <c r="I423" i="6"/>
  <c r="D423" i="6"/>
  <c r="K422" i="6"/>
  <c r="I422" i="6"/>
  <c r="D422" i="6"/>
  <c r="K421" i="6"/>
  <c r="I421" i="6"/>
  <c r="D421" i="6"/>
  <c r="K420" i="6"/>
  <c r="I420" i="6"/>
  <c r="D420" i="6"/>
  <c r="K419" i="6"/>
  <c r="I419" i="6"/>
  <c r="D419" i="6"/>
  <c r="K418" i="6"/>
  <c r="I418" i="6"/>
  <c r="D418" i="6"/>
  <c r="K417" i="6"/>
  <c r="I417" i="6"/>
  <c r="D417" i="6"/>
  <c r="K416" i="6"/>
  <c r="I416" i="6"/>
  <c r="D416" i="6"/>
  <c r="K415" i="6"/>
  <c r="I415" i="6"/>
  <c r="D415" i="6"/>
  <c r="K414" i="6"/>
  <c r="I414" i="6"/>
  <c r="D414" i="6"/>
  <c r="K413" i="6"/>
  <c r="I413" i="6"/>
  <c r="D413" i="6"/>
  <c r="K412" i="6"/>
  <c r="I412" i="6"/>
  <c r="D412" i="6"/>
  <c r="K411" i="6"/>
  <c r="I411" i="6"/>
  <c r="D411" i="6"/>
  <c r="K410" i="6"/>
  <c r="I410" i="6"/>
  <c r="D410" i="6"/>
  <c r="K409" i="6"/>
  <c r="I409" i="6"/>
  <c r="D409" i="6"/>
  <c r="K408" i="6"/>
  <c r="I408" i="6"/>
  <c r="D408" i="6"/>
  <c r="K407" i="6"/>
  <c r="I407" i="6"/>
  <c r="D407" i="6"/>
  <c r="K406" i="6"/>
  <c r="I406" i="6"/>
  <c r="D406" i="6"/>
  <c r="K405" i="6"/>
  <c r="I405" i="6"/>
  <c r="D405" i="6"/>
  <c r="K404" i="6"/>
  <c r="I404" i="6"/>
  <c r="D404" i="6"/>
  <c r="K403" i="6"/>
  <c r="I403" i="6"/>
  <c r="D403" i="6"/>
  <c r="K402" i="6"/>
  <c r="I402" i="6"/>
  <c r="D402" i="6"/>
  <c r="K401" i="6"/>
  <c r="I401" i="6"/>
  <c r="D401" i="6"/>
  <c r="K400" i="6"/>
  <c r="I400" i="6"/>
  <c r="D400" i="6"/>
  <c r="K399" i="6"/>
  <c r="I399" i="6"/>
  <c r="D399" i="6"/>
  <c r="K398" i="6"/>
  <c r="I398" i="6"/>
  <c r="D398" i="6"/>
  <c r="K397" i="6"/>
  <c r="I397" i="6"/>
  <c r="D397" i="6"/>
  <c r="K396" i="6"/>
  <c r="I396" i="6"/>
  <c r="D396" i="6"/>
  <c r="K395" i="6"/>
  <c r="I395" i="6"/>
  <c r="D395" i="6"/>
  <c r="K394" i="6"/>
  <c r="I394" i="6"/>
  <c r="D394" i="6"/>
  <c r="K393" i="6"/>
  <c r="I393" i="6"/>
  <c r="D393" i="6"/>
  <c r="K392" i="6"/>
  <c r="I392" i="6"/>
  <c r="D392" i="6"/>
  <c r="K391" i="6"/>
  <c r="I391" i="6"/>
  <c r="D391" i="6"/>
  <c r="K390" i="6"/>
  <c r="I390" i="6"/>
  <c r="D390" i="6"/>
  <c r="K389" i="6"/>
  <c r="I389" i="6"/>
  <c r="D389" i="6"/>
  <c r="K388" i="6"/>
  <c r="I388" i="6"/>
  <c r="D388" i="6"/>
  <c r="K387" i="6"/>
  <c r="I387" i="6"/>
  <c r="D387" i="6"/>
  <c r="K386" i="6"/>
  <c r="I386" i="6"/>
  <c r="D386" i="6"/>
  <c r="K385" i="6"/>
  <c r="I385" i="6"/>
  <c r="D385" i="6"/>
  <c r="K384" i="6"/>
  <c r="I384" i="6"/>
  <c r="D384" i="6"/>
  <c r="K383" i="6"/>
  <c r="I383" i="6"/>
  <c r="D383" i="6"/>
  <c r="K382" i="6"/>
  <c r="I382" i="6"/>
  <c r="D382" i="6"/>
  <c r="K381" i="6"/>
  <c r="I381" i="6"/>
  <c r="D381" i="6"/>
  <c r="K380" i="6"/>
  <c r="I380" i="6"/>
  <c r="D380" i="6"/>
  <c r="K379" i="6"/>
  <c r="I379" i="6"/>
  <c r="D379" i="6"/>
  <c r="K378" i="6"/>
  <c r="I378" i="6"/>
  <c r="D378" i="6"/>
  <c r="K377" i="6"/>
  <c r="I377" i="6"/>
  <c r="D377" i="6"/>
  <c r="K376" i="6"/>
  <c r="I376" i="6"/>
  <c r="D376" i="6"/>
  <c r="K375" i="6"/>
  <c r="I375" i="6"/>
  <c r="D375" i="6"/>
  <c r="K374" i="6"/>
  <c r="I374" i="6"/>
  <c r="D374" i="6"/>
  <c r="K373" i="6"/>
  <c r="I373" i="6"/>
  <c r="D373" i="6"/>
  <c r="K372" i="6"/>
  <c r="I372" i="6"/>
  <c r="D372" i="6"/>
  <c r="K371" i="6"/>
  <c r="I371" i="6"/>
  <c r="D371" i="6"/>
  <c r="K370" i="6"/>
  <c r="I370" i="6"/>
  <c r="D370" i="6"/>
  <c r="K369" i="6"/>
  <c r="I369" i="6"/>
  <c r="D369" i="6"/>
  <c r="K368" i="6"/>
  <c r="I368" i="6"/>
  <c r="D368" i="6"/>
  <c r="K367" i="6"/>
  <c r="I367" i="6"/>
  <c r="D367" i="6"/>
  <c r="K366" i="6"/>
  <c r="I366" i="6"/>
  <c r="D366" i="6"/>
  <c r="K365" i="6"/>
  <c r="I365" i="6"/>
  <c r="D365" i="6"/>
  <c r="K364" i="6"/>
  <c r="I364" i="6"/>
  <c r="D364" i="6"/>
  <c r="K363" i="6"/>
  <c r="I363" i="6"/>
  <c r="D363" i="6"/>
  <c r="K362" i="6"/>
  <c r="I362" i="6"/>
  <c r="D362" i="6"/>
  <c r="K361" i="6"/>
  <c r="I361" i="6"/>
  <c r="D361" i="6"/>
  <c r="K360" i="6"/>
  <c r="I360" i="6"/>
  <c r="D360" i="6"/>
  <c r="K359" i="6"/>
  <c r="I359" i="6"/>
  <c r="D359" i="6"/>
  <c r="K358" i="6"/>
  <c r="I358" i="6"/>
  <c r="D358" i="6"/>
  <c r="K357" i="6"/>
  <c r="I357" i="6"/>
  <c r="D357" i="6"/>
  <c r="K356" i="6"/>
  <c r="I356" i="6"/>
  <c r="D356" i="6"/>
  <c r="K355" i="6"/>
  <c r="I355" i="6"/>
  <c r="D355" i="6"/>
  <c r="K354" i="6"/>
  <c r="I354" i="6"/>
  <c r="D354" i="6"/>
  <c r="K353" i="6"/>
  <c r="I353" i="6"/>
  <c r="D353" i="6"/>
  <c r="K352" i="6"/>
  <c r="I352" i="6"/>
  <c r="D352" i="6"/>
  <c r="K351" i="6"/>
  <c r="I351" i="6"/>
  <c r="D351" i="6"/>
  <c r="K350" i="6"/>
  <c r="I350" i="6"/>
  <c r="D350" i="6"/>
  <c r="K349" i="6"/>
  <c r="I349" i="6"/>
  <c r="D349" i="6"/>
  <c r="K348" i="6"/>
  <c r="I348" i="6"/>
  <c r="D348" i="6"/>
  <c r="K347" i="6"/>
  <c r="I347" i="6"/>
  <c r="D347" i="6"/>
  <c r="K346" i="6"/>
  <c r="I346" i="6"/>
  <c r="D346" i="6"/>
  <c r="K345" i="6"/>
  <c r="I345" i="6"/>
  <c r="D345" i="6"/>
  <c r="K344" i="6"/>
  <c r="I344" i="6"/>
  <c r="D344" i="6"/>
  <c r="K343" i="6"/>
  <c r="I343" i="6"/>
  <c r="D343" i="6"/>
  <c r="K342" i="6"/>
  <c r="I342" i="6"/>
  <c r="D342" i="6"/>
  <c r="K341" i="6"/>
  <c r="I341" i="6"/>
  <c r="D341" i="6"/>
  <c r="K340" i="6"/>
  <c r="I340" i="6"/>
  <c r="D340" i="6"/>
  <c r="K339" i="6"/>
  <c r="I339" i="6"/>
  <c r="D339" i="6"/>
  <c r="K338" i="6"/>
  <c r="I338" i="6"/>
  <c r="D338" i="6"/>
  <c r="K337" i="6"/>
  <c r="I337" i="6"/>
  <c r="D337" i="6"/>
  <c r="K336" i="6"/>
  <c r="I336" i="6"/>
  <c r="D336" i="6"/>
  <c r="K335" i="6"/>
  <c r="I335" i="6"/>
  <c r="D335" i="6"/>
  <c r="K334" i="6"/>
  <c r="I334" i="6"/>
  <c r="D334" i="6"/>
  <c r="K333" i="6"/>
  <c r="I333" i="6"/>
  <c r="D333" i="6"/>
  <c r="K332" i="6"/>
  <c r="I332" i="6"/>
  <c r="D332" i="6"/>
  <c r="K331" i="6"/>
  <c r="I331" i="6"/>
  <c r="D331" i="6"/>
  <c r="K330" i="6"/>
  <c r="I330" i="6"/>
  <c r="D330" i="6"/>
  <c r="K329" i="6"/>
  <c r="I329" i="6"/>
  <c r="D329" i="6"/>
  <c r="K328" i="6"/>
  <c r="I328" i="6"/>
  <c r="D328" i="6"/>
  <c r="K327" i="6"/>
  <c r="I327" i="6"/>
  <c r="D327" i="6"/>
  <c r="K326" i="6"/>
  <c r="I326" i="6"/>
  <c r="D326" i="6"/>
  <c r="K325" i="6"/>
  <c r="I325" i="6"/>
  <c r="D325" i="6"/>
  <c r="K324" i="6"/>
  <c r="I324" i="6"/>
  <c r="D324" i="6"/>
  <c r="K323" i="6"/>
  <c r="I323" i="6"/>
  <c r="D323" i="6"/>
  <c r="K322" i="6"/>
  <c r="I322" i="6"/>
  <c r="D322" i="6"/>
  <c r="K321" i="6"/>
  <c r="I321" i="6"/>
  <c r="D321" i="6"/>
  <c r="K320" i="6"/>
  <c r="I320" i="6"/>
  <c r="D320" i="6"/>
  <c r="K319" i="6"/>
  <c r="I319" i="6"/>
  <c r="D319" i="6"/>
  <c r="K318" i="6"/>
  <c r="I318" i="6"/>
  <c r="D318" i="6"/>
  <c r="K317" i="6"/>
  <c r="I317" i="6"/>
  <c r="D317" i="6"/>
  <c r="K316" i="6"/>
  <c r="I316" i="6"/>
  <c r="D316" i="6"/>
  <c r="K315" i="6"/>
  <c r="I315" i="6"/>
  <c r="D315" i="6"/>
  <c r="K314" i="6"/>
  <c r="I314" i="6"/>
  <c r="D314" i="6"/>
  <c r="K313" i="6"/>
  <c r="I313" i="6"/>
  <c r="D313" i="6"/>
  <c r="K312" i="6"/>
  <c r="I312" i="6"/>
  <c r="D312" i="6"/>
  <c r="K311" i="6"/>
  <c r="I311" i="6"/>
  <c r="D311" i="6"/>
  <c r="K310" i="6"/>
  <c r="I310" i="6"/>
  <c r="D310" i="6"/>
  <c r="K309" i="6"/>
  <c r="I309" i="6"/>
  <c r="D309" i="6"/>
  <c r="K308" i="6"/>
  <c r="I308" i="6"/>
  <c r="D308" i="6"/>
  <c r="K307" i="6"/>
  <c r="I307" i="6"/>
  <c r="D307" i="6"/>
  <c r="K306" i="6"/>
  <c r="I306" i="6"/>
  <c r="D306" i="6"/>
  <c r="K305" i="6"/>
  <c r="I305" i="6"/>
  <c r="D305" i="6"/>
  <c r="K304" i="6"/>
  <c r="I304" i="6"/>
  <c r="D304" i="6"/>
  <c r="K303" i="6"/>
  <c r="I303" i="6"/>
  <c r="D303" i="6"/>
  <c r="K302" i="6"/>
  <c r="I302" i="6"/>
  <c r="D302" i="6"/>
  <c r="K301" i="6"/>
  <c r="I301" i="6"/>
  <c r="D301" i="6"/>
  <c r="K300" i="6"/>
  <c r="I300" i="6"/>
  <c r="D300" i="6"/>
  <c r="K299" i="6"/>
  <c r="I299" i="6"/>
  <c r="D299" i="6"/>
  <c r="K298" i="6"/>
  <c r="I298" i="6"/>
  <c r="D298" i="6"/>
  <c r="K297" i="6"/>
  <c r="I297" i="6"/>
  <c r="D297" i="6"/>
  <c r="K296" i="6"/>
  <c r="I296" i="6"/>
  <c r="D296" i="6"/>
  <c r="K295" i="6"/>
  <c r="I295" i="6"/>
  <c r="D295" i="6"/>
  <c r="K294" i="6"/>
  <c r="I294" i="6"/>
  <c r="D294" i="6"/>
  <c r="K293" i="6"/>
  <c r="I293" i="6"/>
  <c r="D293" i="6"/>
  <c r="K292" i="6"/>
  <c r="I292" i="6"/>
  <c r="D292" i="6"/>
  <c r="K291" i="6"/>
  <c r="I291" i="6"/>
  <c r="D291" i="6"/>
  <c r="K290" i="6"/>
  <c r="I290" i="6"/>
  <c r="D290" i="6"/>
  <c r="K289" i="6"/>
  <c r="I289" i="6"/>
  <c r="D289" i="6"/>
  <c r="K288" i="6"/>
  <c r="I288" i="6"/>
  <c r="D288" i="6"/>
  <c r="K287" i="6"/>
  <c r="I287" i="6"/>
  <c r="D287" i="6"/>
  <c r="K286" i="6"/>
  <c r="I286" i="6"/>
  <c r="D286" i="6"/>
  <c r="K285" i="6"/>
  <c r="I285" i="6"/>
  <c r="D285" i="6"/>
  <c r="K284" i="6"/>
  <c r="I284" i="6"/>
  <c r="D284" i="6"/>
  <c r="K283" i="6"/>
  <c r="I283" i="6"/>
  <c r="D283" i="6"/>
  <c r="K282" i="6"/>
  <c r="I282" i="6"/>
  <c r="D282" i="6"/>
  <c r="K281" i="6"/>
  <c r="I281" i="6"/>
  <c r="D281" i="6"/>
  <c r="K280" i="6"/>
  <c r="I280" i="6"/>
  <c r="D280" i="6"/>
  <c r="K279" i="6"/>
  <c r="I279" i="6"/>
  <c r="D279" i="6"/>
  <c r="K278" i="6"/>
  <c r="I278" i="6"/>
  <c r="D278" i="6"/>
  <c r="K277" i="6"/>
  <c r="I277" i="6"/>
  <c r="D277" i="6"/>
  <c r="K276" i="6"/>
  <c r="I276" i="6"/>
  <c r="D276" i="6"/>
  <c r="K275" i="6"/>
  <c r="I275" i="6"/>
  <c r="D275" i="6"/>
  <c r="K274" i="6"/>
  <c r="I274" i="6"/>
  <c r="D274" i="6"/>
  <c r="K273" i="6"/>
  <c r="I273" i="6"/>
  <c r="D273" i="6"/>
  <c r="K272" i="6"/>
  <c r="I272" i="6"/>
  <c r="D272" i="6"/>
  <c r="K271" i="6"/>
  <c r="I271" i="6"/>
  <c r="D271" i="6"/>
  <c r="K270" i="6"/>
  <c r="I270" i="6"/>
  <c r="D270" i="6"/>
  <c r="K269" i="6"/>
  <c r="I269" i="6"/>
  <c r="D269" i="6"/>
  <c r="K268" i="6"/>
  <c r="I268" i="6"/>
  <c r="D268" i="6"/>
  <c r="K267" i="6"/>
  <c r="I267" i="6"/>
  <c r="D267" i="6"/>
  <c r="K266" i="6"/>
  <c r="I266" i="6"/>
  <c r="D266" i="6"/>
  <c r="K265" i="6"/>
  <c r="I265" i="6"/>
  <c r="D265" i="6"/>
  <c r="K264" i="6"/>
  <c r="I264" i="6"/>
  <c r="D264" i="6"/>
  <c r="K263" i="6"/>
  <c r="I263" i="6"/>
  <c r="D263" i="6"/>
  <c r="K262" i="6"/>
  <c r="I262" i="6"/>
  <c r="D262" i="6"/>
  <c r="K261" i="6"/>
  <c r="I261" i="6"/>
  <c r="D261" i="6"/>
  <c r="K260" i="6"/>
  <c r="I260" i="6"/>
  <c r="D260" i="6"/>
  <c r="K259" i="6"/>
  <c r="I259" i="6"/>
  <c r="D259" i="6"/>
  <c r="K258" i="6"/>
  <c r="I258" i="6"/>
  <c r="D258" i="6"/>
  <c r="K257" i="6"/>
  <c r="I257" i="6"/>
  <c r="D257" i="6"/>
  <c r="K256" i="6"/>
  <c r="I256" i="6"/>
  <c r="D256" i="6"/>
  <c r="K255" i="6"/>
  <c r="I255" i="6"/>
  <c r="D255" i="6"/>
  <c r="K254" i="6"/>
  <c r="I254" i="6"/>
  <c r="D254" i="6"/>
  <c r="K253" i="6"/>
  <c r="I253" i="6"/>
  <c r="D253" i="6"/>
  <c r="K252" i="6"/>
  <c r="I252" i="6"/>
  <c r="D252" i="6"/>
  <c r="K251" i="6"/>
  <c r="I251" i="6"/>
  <c r="D251" i="6"/>
  <c r="K250" i="6"/>
  <c r="I250" i="6"/>
  <c r="D250" i="6"/>
  <c r="K249" i="6"/>
  <c r="I249" i="6"/>
  <c r="D249" i="6"/>
  <c r="K248" i="6"/>
  <c r="I248" i="6"/>
  <c r="D248" i="6"/>
  <c r="K247" i="6"/>
  <c r="I247" i="6"/>
  <c r="D247" i="6"/>
  <c r="K246" i="6"/>
  <c r="I246" i="6"/>
  <c r="D246" i="6"/>
  <c r="K245" i="6"/>
  <c r="I245" i="6"/>
  <c r="D245" i="6"/>
  <c r="K244" i="6"/>
  <c r="I244" i="6"/>
  <c r="D244" i="6"/>
  <c r="K243" i="6"/>
  <c r="I243" i="6"/>
  <c r="D243" i="6"/>
  <c r="K242" i="6"/>
  <c r="I242" i="6"/>
  <c r="D242" i="6"/>
  <c r="K241" i="6"/>
  <c r="I241" i="6"/>
  <c r="D241" i="6"/>
  <c r="K240" i="6"/>
  <c r="I240" i="6"/>
  <c r="D240" i="6"/>
  <c r="K239" i="6"/>
  <c r="I239" i="6"/>
  <c r="D239" i="6"/>
  <c r="K238" i="6"/>
  <c r="I238" i="6"/>
  <c r="D238" i="6"/>
  <c r="K237" i="6"/>
  <c r="I237" i="6"/>
  <c r="D237" i="6"/>
  <c r="K236" i="6"/>
  <c r="I236" i="6"/>
  <c r="D236" i="6"/>
  <c r="K235" i="6"/>
  <c r="I235" i="6"/>
  <c r="D235" i="6"/>
  <c r="K234" i="6"/>
  <c r="I234" i="6"/>
  <c r="D234" i="6"/>
  <c r="K233" i="6"/>
  <c r="I233" i="6"/>
  <c r="D233" i="6"/>
  <c r="K232" i="6"/>
  <c r="I232" i="6"/>
  <c r="D232" i="6"/>
  <c r="K231" i="6"/>
  <c r="I231" i="6"/>
  <c r="D231" i="6"/>
  <c r="K230" i="6"/>
  <c r="I230" i="6"/>
  <c r="D230" i="6"/>
  <c r="K229" i="6"/>
  <c r="I229" i="6"/>
  <c r="D229" i="6"/>
  <c r="K228" i="6"/>
  <c r="I228" i="6"/>
  <c r="D228" i="6"/>
  <c r="K227" i="6"/>
  <c r="I227" i="6"/>
  <c r="D227" i="6"/>
  <c r="K226" i="6"/>
  <c r="I226" i="6"/>
  <c r="D226" i="6"/>
  <c r="K225" i="6"/>
  <c r="I225" i="6"/>
  <c r="D225" i="6"/>
  <c r="K224" i="6"/>
  <c r="I224" i="6"/>
  <c r="D224" i="6"/>
  <c r="K223" i="6"/>
  <c r="I223" i="6"/>
  <c r="D223" i="6"/>
  <c r="K222" i="6"/>
  <c r="I222" i="6"/>
  <c r="D222" i="6"/>
  <c r="K221" i="6"/>
  <c r="I221" i="6"/>
  <c r="D221" i="6"/>
  <c r="K220" i="6"/>
  <c r="I220" i="6"/>
  <c r="D220" i="6"/>
  <c r="K219" i="6"/>
  <c r="I219" i="6"/>
  <c r="D219" i="6"/>
  <c r="K218" i="6"/>
  <c r="I218" i="6"/>
  <c r="D218" i="6"/>
  <c r="K217" i="6"/>
  <c r="I217" i="6"/>
  <c r="D217" i="6"/>
  <c r="K216" i="6"/>
  <c r="I216" i="6"/>
  <c r="D216" i="6"/>
  <c r="K215" i="6"/>
  <c r="I215" i="6"/>
  <c r="D215" i="6"/>
  <c r="K214" i="6"/>
  <c r="I214" i="6"/>
  <c r="D214" i="6"/>
  <c r="K213" i="6"/>
  <c r="I213" i="6"/>
  <c r="D213" i="6"/>
  <c r="K212" i="6"/>
  <c r="I212" i="6"/>
  <c r="D212" i="6"/>
  <c r="K211" i="6"/>
  <c r="I211" i="6"/>
  <c r="D211" i="6"/>
  <c r="K210" i="6"/>
  <c r="I210" i="6"/>
  <c r="D210" i="6"/>
  <c r="K209" i="6"/>
  <c r="I209" i="6"/>
  <c r="D209" i="6"/>
  <c r="K208" i="6"/>
  <c r="I208" i="6"/>
  <c r="D208" i="6"/>
  <c r="K207" i="6"/>
  <c r="I207" i="6"/>
  <c r="D207" i="6"/>
  <c r="K206" i="6"/>
  <c r="I206" i="6"/>
  <c r="D206" i="6"/>
  <c r="K205" i="6"/>
  <c r="I205" i="6"/>
  <c r="D205" i="6"/>
  <c r="K204" i="6"/>
  <c r="I204" i="6"/>
  <c r="D204" i="6"/>
  <c r="K203" i="6"/>
  <c r="I203" i="6"/>
  <c r="D203" i="6"/>
  <c r="K202" i="6"/>
  <c r="I202" i="6"/>
  <c r="D202" i="6"/>
  <c r="K201" i="6"/>
  <c r="I201" i="6"/>
  <c r="D201" i="6"/>
  <c r="K200" i="6"/>
  <c r="I200" i="6"/>
  <c r="D200" i="6"/>
  <c r="K199" i="6"/>
  <c r="I199" i="6"/>
  <c r="D199" i="6"/>
  <c r="K198" i="6"/>
  <c r="I198" i="6"/>
  <c r="D198" i="6"/>
  <c r="K197" i="6"/>
  <c r="I197" i="6"/>
  <c r="D197" i="6"/>
  <c r="K196" i="6"/>
  <c r="I196" i="6"/>
  <c r="D196" i="6"/>
  <c r="K195" i="6"/>
  <c r="I195" i="6"/>
  <c r="D195" i="6"/>
  <c r="K194" i="6"/>
  <c r="I194" i="6"/>
  <c r="D194" i="6"/>
  <c r="K193" i="6"/>
  <c r="I193" i="6"/>
  <c r="D193" i="6"/>
  <c r="K192" i="6"/>
  <c r="I192" i="6"/>
  <c r="D192" i="6"/>
  <c r="K191" i="6"/>
  <c r="I191" i="6"/>
  <c r="D191" i="6"/>
  <c r="K190" i="6"/>
  <c r="I190" i="6"/>
  <c r="D190" i="6"/>
  <c r="K189" i="6"/>
  <c r="I189" i="6"/>
  <c r="D189" i="6"/>
  <c r="K188" i="6"/>
  <c r="I188" i="6"/>
  <c r="D188" i="6"/>
  <c r="K187" i="6"/>
  <c r="I187" i="6"/>
  <c r="D187" i="6"/>
  <c r="K186" i="6"/>
  <c r="I186" i="6"/>
  <c r="D186" i="6"/>
  <c r="K185" i="6"/>
  <c r="I185" i="6"/>
  <c r="D185" i="6"/>
  <c r="K184" i="6"/>
  <c r="I184" i="6"/>
  <c r="D184" i="6"/>
  <c r="K183" i="6"/>
  <c r="I183" i="6"/>
  <c r="D183" i="6"/>
  <c r="K182" i="6"/>
  <c r="I182" i="6"/>
  <c r="D182" i="6"/>
  <c r="K181" i="6"/>
  <c r="I181" i="6"/>
  <c r="D181" i="6"/>
  <c r="K180" i="6"/>
  <c r="I180" i="6"/>
  <c r="D180" i="6"/>
  <c r="K179" i="6"/>
  <c r="I179" i="6"/>
  <c r="D179" i="6"/>
  <c r="K178" i="6"/>
  <c r="I178" i="6"/>
  <c r="D178" i="6"/>
  <c r="K177" i="6"/>
  <c r="I177" i="6"/>
  <c r="D177" i="6"/>
  <c r="K176" i="6"/>
  <c r="I176" i="6"/>
  <c r="D176" i="6"/>
  <c r="K175" i="6"/>
  <c r="I175" i="6"/>
  <c r="D175" i="6"/>
  <c r="K174" i="6"/>
  <c r="I174" i="6"/>
  <c r="D174" i="6"/>
  <c r="K173" i="6"/>
  <c r="I173" i="6"/>
  <c r="D173" i="6"/>
  <c r="K172" i="6"/>
  <c r="I172" i="6"/>
  <c r="D172" i="6"/>
  <c r="K171" i="6"/>
  <c r="I171" i="6"/>
  <c r="D171" i="6"/>
  <c r="K170" i="6"/>
  <c r="I170" i="6"/>
  <c r="D170" i="6"/>
  <c r="K169" i="6"/>
  <c r="I169" i="6"/>
  <c r="D169" i="6"/>
  <c r="K168" i="6"/>
  <c r="I168" i="6"/>
  <c r="D168" i="6"/>
  <c r="K167" i="6"/>
  <c r="I167" i="6"/>
  <c r="D167" i="6"/>
  <c r="K166" i="6"/>
  <c r="I166" i="6"/>
  <c r="D166" i="6"/>
  <c r="K165" i="6"/>
  <c r="I165" i="6"/>
  <c r="D165" i="6"/>
  <c r="K164" i="6"/>
  <c r="I164" i="6"/>
  <c r="D164" i="6"/>
  <c r="K163" i="6"/>
  <c r="I163" i="6"/>
  <c r="D163" i="6"/>
  <c r="K162" i="6"/>
  <c r="I162" i="6"/>
  <c r="D162" i="6"/>
  <c r="K161" i="6"/>
  <c r="I161" i="6"/>
  <c r="D161" i="6"/>
  <c r="K160" i="6"/>
  <c r="I160" i="6"/>
  <c r="D160" i="6"/>
  <c r="K159" i="6"/>
  <c r="I159" i="6"/>
  <c r="D159" i="6"/>
  <c r="K158" i="6"/>
  <c r="I158" i="6"/>
  <c r="D158" i="6"/>
  <c r="K157" i="6"/>
  <c r="I157" i="6"/>
  <c r="D157" i="6"/>
  <c r="K156" i="6"/>
  <c r="I156" i="6"/>
  <c r="D156" i="6"/>
  <c r="K155" i="6"/>
  <c r="I155" i="6"/>
  <c r="D155" i="6"/>
  <c r="K154" i="6"/>
  <c r="I154" i="6"/>
  <c r="D154" i="6"/>
  <c r="K153" i="6"/>
  <c r="I153" i="6"/>
  <c r="D153" i="6"/>
  <c r="K152" i="6"/>
  <c r="I152" i="6"/>
  <c r="D152" i="6"/>
  <c r="K151" i="6"/>
  <c r="I151" i="6"/>
  <c r="D151" i="6"/>
  <c r="K150" i="6"/>
  <c r="I150" i="6"/>
  <c r="D150" i="6"/>
  <c r="K149" i="6"/>
  <c r="I149" i="6"/>
  <c r="D149" i="6"/>
  <c r="K148" i="6"/>
  <c r="I148" i="6"/>
  <c r="D148" i="6"/>
  <c r="K147" i="6"/>
  <c r="I147" i="6"/>
  <c r="D147" i="6"/>
  <c r="K146" i="6"/>
  <c r="I146" i="6"/>
  <c r="D146" i="6"/>
  <c r="K145" i="6"/>
  <c r="I145" i="6"/>
  <c r="D145" i="6"/>
  <c r="K144" i="6"/>
  <c r="I144" i="6"/>
  <c r="D144" i="6"/>
  <c r="K143" i="6"/>
  <c r="I143" i="6"/>
  <c r="D143" i="6"/>
  <c r="K142" i="6"/>
  <c r="I142" i="6"/>
  <c r="D142" i="6"/>
  <c r="K141" i="6"/>
  <c r="I141" i="6"/>
  <c r="D141" i="6"/>
  <c r="K140" i="6"/>
  <c r="I140" i="6"/>
  <c r="D140" i="6"/>
  <c r="K139" i="6"/>
  <c r="I139" i="6"/>
  <c r="D139" i="6"/>
  <c r="K138" i="6"/>
  <c r="I138" i="6"/>
  <c r="D138" i="6"/>
  <c r="K137" i="6"/>
  <c r="I137" i="6"/>
  <c r="D137" i="6"/>
  <c r="K136" i="6"/>
  <c r="I136" i="6"/>
  <c r="D136" i="6"/>
  <c r="K135" i="6"/>
  <c r="I135" i="6"/>
  <c r="D135" i="6"/>
  <c r="K134" i="6"/>
  <c r="I134" i="6"/>
  <c r="D134" i="6"/>
  <c r="K133" i="6"/>
  <c r="I133" i="6"/>
  <c r="D133" i="6"/>
  <c r="K132" i="6"/>
  <c r="I132" i="6"/>
  <c r="D132" i="6"/>
  <c r="K131" i="6"/>
  <c r="I131" i="6"/>
  <c r="D131" i="6"/>
  <c r="K130" i="6"/>
  <c r="I130" i="6"/>
  <c r="D130" i="6"/>
  <c r="K129" i="6"/>
  <c r="I129" i="6"/>
  <c r="D129" i="6"/>
  <c r="K128" i="6"/>
  <c r="I128" i="6"/>
  <c r="D128" i="6"/>
  <c r="K127" i="6"/>
  <c r="I127" i="6"/>
  <c r="D127" i="6"/>
  <c r="K126" i="6"/>
  <c r="I126" i="6"/>
  <c r="D126" i="6"/>
  <c r="K125" i="6"/>
  <c r="I125" i="6"/>
  <c r="D125" i="6"/>
  <c r="K124" i="6"/>
  <c r="I124" i="6"/>
  <c r="D124" i="6"/>
  <c r="K123" i="6"/>
  <c r="I123" i="6"/>
  <c r="D123" i="6"/>
  <c r="K122" i="6"/>
  <c r="I122" i="6"/>
  <c r="D122" i="6"/>
  <c r="K121" i="6"/>
  <c r="I121" i="6"/>
  <c r="D121" i="6"/>
  <c r="K120" i="6"/>
  <c r="I120" i="6"/>
  <c r="D120" i="6"/>
  <c r="K119" i="6"/>
  <c r="I119" i="6"/>
  <c r="D119" i="6"/>
  <c r="K118" i="6"/>
  <c r="I118" i="6"/>
  <c r="D118" i="6"/>
  <c r="K117" i="6"/>
  <c r="I117" i="6"/>
  <c r="D117" i="6"/>
  <c r="K116" i="6"/>
  <c r="I116" i="6"/>
  <c r="D116" i="6"/>
  <c r="K115" i="6"/>
  <c r="I115" i="6"/>
  <c r="D115" i="6"/>
  <c r="K114" i="6"/>
  <c r="I114" i="6"/>
  <c r="D114" i="6"/>
  <c r="K113" i="6"/>
  <c r="I113" i="6"/>
  <c r="D113" i="6"/>
  <c r="K112" i="6"/>
  <c r="I112" i="6"/>
  <c r="D112" i="6"/>
  <c r="K111" i="6"/>
  <c r="I111" i="6"/>
  <c r="D111" i="6"/>
  <c r="K110" i="6"/>
  <c r="I110" i="6"/>
  <c r="D110" i="6"/>
  <c r="K109" i="6"/>
  <c r="I109" i="6"/>
  <c r="D109" i="6"/>
  <c r="K108" i="6"/>
  <c r="I108" i="6"/>
  <c r="D108" i="6"/>
  <c r="K107" i="6"/>
  <c r="I107" i="6"/>
  <c r="D107" i="6"/>
  <c r="K106" i="6"/>
  <c r="I106" i="6"/>
  <c r="D106" i="6"/>
  <c r="K105" i="6"/>
  <c r="I105" i="6"/>
  <c r="D105" i="6"/>
  <c r="K104" i="6"/>
  <c r="I104" i="6"/>
  <c r="D104" i="6"/>
  <c r="K103" i="6"/>
  <c r="I103" i="6"/>
  <c r="D103" i="6"/>
  <c r="K102" i="6"/>
  <c r="I102" i="6"/>
  <c r="D102" i="6"/>
  <c r="K101" i="6"/>
  <c r="I101" i="6"/>
  <c r="D101" i="6"/>
  <c r="K100" i="6"/>
  <c r="I100" i="6"/>
  <c r="D100" i="6"/>
  <c r="K99" i="6"/>
  <c r="I99" i="6"/>
  <c r="D99" i="6"/>
  <c r="K98" i="6"/>
  <c r="I98" i="6"/>
  <c r="D98" i="6"/>
  <c r="K97" i="6"/>
  <c r="I97" i="6"/>
  <c r="D97" i="6"/>
  <c r="K96" i="6"/>
  <c r="I96" i="6"/>
  <c r="D96" i="6"/>
  <c r="K95" i="6"/>
  <c r="I95" i="6"/>
  <c r="D95" i="6"/>
  <c r="K94" i="6"/>
  <c r="I94" i="6"/>
  <c r="D94" i="6"/>
  <c r="K93" i="6"/>
  <c r="I93" i="6"/>
  <c r="D93" i="6"/>
  <c r="K92" i="6"/>
  <c r="I92" i="6"/>
  <c r="D92" i="6"/>
  <c r="K91" i="6"/>
  <c r="I91" i="6"/>
  <c r="D91" i="6"/>
  <c r="K90" i="6"/>
  <c r="I90" i="6"/>
  <c r="D90" i="6"/>
  <c r="K89" i="6"/>
  <c r="I89" i="6"/>
  <c r="D89" i="6"/>
  <c r="K88" i="6"/>
  <c r="I88" i="6"/>
  <c r="D88" i="6"/>
  <c r="K87" i="6"/>
  <c r="I87" i="6"/>
  <c r="D87" i="6"/>
  <c r="K86" i="6"/>
  <c r="I86" i="6"/>
  <c r="D86" i="6"/>
  <c r="K85" i="6"/>
  <c r="I85" i="6"/>
  <c r="D85" i="6"/>
  <c r="K84" i="6"/>
  <c r="I84" i="6"/>
  <c r="D84" i="6"/>
  <c r="K83" i="6"/>
  <c r="I83" i="6"/>
  <c r="D83" i="6"/>
  <c r="K82" i="6"/>
  <c r="I82" i="6"/>
  <c r="D82" i="6"/>
  <c r="K81" i="6"/>
  <c r="I81" i="6"/>
  <c r="D81" i="6"/>
  <c r="K80" i="6"/>
  <c r="I80" i="6"/>
  <c r="D80" i="6"/>
  <c r="K79" i="6"/>
  <c r="I79" i="6"/>
  <c r="D79" i="6"/>
  <c r="K78" i="6"/>
  <c r="I78" i="6"/>
  <c r="D78" i="6"/>
  <c r="K77" i="6"/>
  <c r="I77" i="6"/>
  <c r="D77" i="6"/>
  <c r="K76" i="6"/>
  <c r="I76" i="6"/>
  <c r="D76" i="6"/>
  <c r="K75" i="6"/>
  <c r="I75" i="6"/>
  <c r="D75" i="6"/>
  <c r="K74" i="6"/>
  <c r="I74" i="6"/>
  <c r="D74" i="6"/>
  <c r="K73" i="6"/>
  <c r="I73" i="6"/>
  <c r="D73" i="6"/>
  <c r="K72" i="6"/>
  <c r="I72" i="6"/>
  <c r="D72" i="6"/>
  <c r="K71" i="6"/>
  <c r="I71" i="6"/>
  <c r="D71" i="6"/>
  <c r="K70" i="6"/>
  <c r="I70" i="6"/>
  <c r="D70" i="6"/>
  <c r="K69" i="6"/>
  <c r="I69" i="6"/>
  <c r="D69" i="6"/>
  <c r="K68" i="6"/>
  <c r="I68" i="6"/>
  <c r="D68" i="6"/>
  <c r="K67" i="6"/>
  <c r="I67" i="6"/>
  <c r="D67" i="6"/>
  <c r="K66" i="6"/>
  <c r="I66" i="6"/>
  <c r="D66" i="6"/>
  <c r="K65" i="6"/>
  <c r="I65" i="6"/>
  <c r="D65" i="6"/>
  <c r="K64" i="6"/>
  <c r="I64" i="6"/>
  <c r="D64" i="6"/>
  <c r="K63" i="6"/>
  <c r="I63" i="6"/>
  <c r="D63" i="6"/>
  <c r="K62" i="6"/>
  <c r="I62" i="6"/>
  <c r="D62" i="6"/>
  <c r="K61" i="6"/>
  <c r="I61" i="6"/>
  <c r="D61" i="6"/>
  <c r="K60" i="6"/>
  <c r="I60" i="6"/>
  <c r="D60" i="6"/>
  <c r="K59" i="6"/>
  <c r="I59" i="6"/>
  <c r="D59" i="6"/>
  <c r="K58" i="6"/>
  <c r="I58" i="6"/>
  <c r="D58" i="6"/>
  <c r="K57" i="6"/>
  <c r="I57" i="6"/>
  <c r="D57" i="6"/>
  <c r="K56" i="6"/>
  <c r="I56" i="6"/>
  <c r="D56" i="6"/>
  <c r="K55" i="6"/>
  <c r="I55" i="6"/>
  <c r="D55" i="6"/>
  <c r="K54" i="6"/>
  <c r="I54" i="6"/>
  <c r="D54" i="6"/>
  <c r="K53" i="6"/>
  <c r="I53" i="6"/>
  <c r="D53" i="6"/>
  <c r="K52" i="6"/>
  <c r="I52" i="6"/>
  <c r="D52" i="6"/>
  <c r="K51" i="6"/>
  <c r="I51" i="6"/>
  <c r="D51" i="6"/>
  <c r="K50" i="6"/>
  <c r="I50" i="6"/>
  <c r="D50" i="6"/>
  <c r="K49" i="6"/>
  <c r="I49" i="6"/>
  <c r="D49" i="6"/>
  <c r="K48" i="6"/>
  <c r="I48" i="6"/>
  <c r="D48" i="6"/>
  <c r="K47" i="6"/>
  <c r="I47" i="6"/>
  <c r="D47" i="6"/>
  <c r="K46" i="6"/>
  <c r="I46" i="6"/>
  <c r="D46" i="6"/>
  <c r="K45" i="6"/>
  <c r="I45" i="6"/>
  <c r="D45" i="6"/>
  <c r="K44" i="6"/>
  <c r="I44" i="6"/>
  <c r="D44" i="6"/>
  <c r="K43" i="6"/>
  <c r="I43" i="6"/>
  <c r="D43" i="6"/>
  <c r="K42" i="6"/>
  <c r="I42" i="6"/>
  <c r="D42" i="6"/>
  <c r="K41" i="6"/>
  <c r="I41" i="6"/>
  <c r="D41" i="6"/>
  <c r="K40" i="6"/>
  <c r="I40" i="6"/>
  <c r="D40" i="6"/>
  <c r="K39" i="6"/>
  <c r="I39" i="6"/>
  <c r="D39" i="6"/>
  <c r="K38" i="6"/>
  <c r="I38" i="6"/>
  <c r="D38" i="6"/>
  <c r="K37" i="6"/>
  <c r="I37" i="6"/>
  <c r="D37" i="6"/>
  <c r="K36" i="6"/>
  <c r="I36" i="6"/>
  <c r="D36" i="6"/>
  <c r="K35" i="6"/>
  <c r="I35" i="6"/>
  <c r="D35" i="6"/>
  <c r="K34" i="6"/>
  <c r="I34" i="6"/>
  <c r="D34" i="6"/>
  <c r="K33" i="6"/>
  <c r="I33" i="6"/>
  <c r="D33" i="6"/>
  <c r="K32" i="6"/>
  <c r="I32" i="6"/>
  <c r="D32" i="6"/>
  <c r="K31" i="6"/>
  <c r="I31" i="6"/>
  <c r="D31" i="6"/>
  <c r="K30" i="6"/>
  <c r="I30" i="6"/>
  <c r="D30" i="6"/>
  <c r="K29" i="6"/>
  <c r="I29" i="6"/>
  <c r="D29" i="6"/>
  <c r="K28" i="6"/>
  <c r="I28" i="6"/>
  <c r="D28" i="6"/>
  <c r="K27" i="6"/>
  <c r="I27" i="6"/>
  <c r="D27" i="6"/>
  <c r="K26" i="6"/>
  <c r="I26" i="6"/>
  <c r="D26" i="6"/>
  <c r="K25" i="6"/>
  <c r="I25" i="6"/>
  <c r="D25" i="6"/>
  <c r="K24" i="6"/>
  <c r="I24" i="6"/>
  <c r="D24" i="6"/>
  <c r="K23" i="6"/>
  <c r="I23" i="6"/>
  <c r="D23" i="6"/>
  <c r="K22" i="6"/>
  <c r="I22" i="6"/>
  <c r="D22" i="6"/>
  <c r="K21" i="6"/>
  <c r="I21" i="6"/>
  <c r="D21" i="6"/>
  <c r="K20" i="6"/>
  <c r="I20" i="6"/>
  <c r="D20" i="6"/>
  <c r="K19" i="6"/>
  <c r="I19" i="6"/>
  <c r="D19" i="6"/>
  <c r="K18" i="6"/>
  <c r="I18" i="6"/>
  <c r="D18" i="6"/>
  <c r="K17" i="6"/>
  <c r="I17" i="6"/>
  <c r="D17" i="6"/>
  <c r="K16" i="6"/>
  <c r="I16" i="6"/>
  <c r="D16" i="6"/>
  <c r="K15" i="6"/>
  <c r="I15" i="6"/>
  <c r="D15" i="6"/>
  <c r="K14" i="6"/>
  <c r="I14" i="6"/>
  <c r="D14" i="6"/>
  <c r="K13" i="6"/>
  <c r="I13" i="6"/>
  <c r="D13" i="6"/>
  <c r="K12" i="6"/>
  <c r="I12" i="6"/>
  <c r="D12" i="6"/>
  <c r="K11" i="6"/>
  <c r="I11" i="6"/>
  <c r="D11" i="6"/>
  <c r="K10" i="6"/>
  <c r="I10" i="6"/>
  <c r="D10" i="6"/>
  <c r="K9" i="6"/>
  <c r="I9" i="6"/>
  <c r="D9" i="6"/>
  <c r="K8" i="6"/>
  <c r="I8" i="6"/>
  <c r="D8" i="6"/>
  <c r="N7" i="6"/>
  <c r="K7" i="6"/>
  <c r="I7" i="6"/>
  <c r="D7" i="6"/>
  <c r="I6" i="6"/>
  <c r="D14" i="13"/>
  <c r="P11" i="13"/>
  <c r="P10" i="13"/>
  <c r="P9" i="13"/>
  <c r="P8" i="13"/>
  <c r="F5" i="13"/>
  <c r="F7" i="13" s="1"/>
  <c r="F10" i="13" s="1"/>
  <c r="F12" i="13" s="1"/>
  <c r="E5" i="13"/>
  <c r="E7" i="13" s="1"/>
  <c r="E10" i="13" s="1"/>
  <c r="E12" i="13" s="1"/>
  <c r="D5" i="13"/>
  <c r="D7" i="13" s="1"/>
  <c r="D10" i="13" s="1"/>
  <c r="D12" i="13" s="1"/>
  <c r="C5" i="13"/>
  <c r="C7" i="13" s="1"/>
  <c r="C10" i="13" s="1"/>
  <c r="C12" i="13" s="1"/>
  <c r="AF4" i="13"/>
  <c r="AE4" i="13"/>
  <c r="V4" i="13"/>
  <c r="U4" i="13"/>
  <c r="U5" i="13" s="1"/>
  <c r="N4" i="13"/>
  <c r="R5" i="13"/>
  <c r="R6" i="13" s="1"/>
  <c r="M2" i="13"/>
  <c r="K20" i="5"/>
  <c r="K21" i="5" s="1"/>
  <c r="F13" i="5"/>
  <c r="J31" i="5" s="1"/>
  <c r="D637" i="4"/>
  <c r="D636" i="4"/>
  <c r="D635" i="4"/>
  <c r="D634" i="4"/>
  <c r="D633" i="4"/>
  <c r="D632" i="4"/>
  <c r="D631" i="4"/>
  <c r="D630" i="4"/>
  <c r="D629" i="4"/>
  <c r="D628" i="4"/>
  <c r="D627" i="4"/>
  <c r="D626" i="4"/>
  <c r="D625" i="4"/>
  <c r="D624" i="4"/>
  <c r="D623" i="4"/>
  <c r="D622" i="4"/>
  <c r="D621" i="4"/>
  <c r="D620" i="4"/>
  <c r="D619" i="4"/>
  <c r="D618" i="4"/>
  <c r="D617" i="4"/>
  <c r="D616" i="4"/>
  <c r="D615" i="4"/>
  <c r="D614" i="4"/>
  <c r="D613" i="4"/>
  <c r="D612" i="4"/>
  <c r="D611" i="4"/>
  <c r="D610" i="4"/>
  <c r="D609" i="4"/>
  <c r="D608" i="4"/>
  <c r="D607" i="4"/>
  <c r="D606" i="4"/>
  <c r="D605" i="4"/>
  <c r="D604" i="4"/>
  <c r="D603" i="4"/>
  <c r="D602" i="4"/>
  <c r="D601" i="4"/>
  <c r="D600" i="4"/>
  <c r="D599" i="4"/>
  <c r="D598" i="4"/>
  <c r="D597" i="4"/>
  <c r="D596" i="4"/>
  <c r="D595" i="4"/>
  <c r="D594" i="4"/>
  <c r="D593" i="4"/>
  <c r="D592" i="4"/>
  <c r="D591" i="4"/>
  <c r="D590" i="4"/>
  <c r="D589" i="4"/>
  <c r="D588" i="4"/>
  <c r="D587" i="4"/>
  <c r="D586" i="4"/>
  <c r="D585" i="4"/>
  <c r="D584" i="4"/>
  <c r="D583" i="4"/>
  <c r="D582" i="4"/>
  <c r="D581" i="4"/>
  <c r="D580" i="4"/>
  <c r="D579" i="4"/>
  <c r="D578" i="4"/>
  <c r="D577" i="4"/>
  <c r="D576" i="4"/>
  <c r="D575" i="4"/>
  <c r="D574" i="4"/>
  <c r="D573" i="4"/>
  <c r="D572" i="4"/>
  <c r="D571" i="4"/>
  <c r="D570" i="4"/>
  <c r="D569" i="4"/>
  <c r="D568" i="4"/>
  <c r="D567" i="4"/>
  <c r="D566" i="4"/>
  <c r="D565" i="4"/>
  <c r="D564" i="4"/>
  <c r="D563" i="4"/>
  <c r="D562" i="4"/>
  <c r="D561" i="4"/>
  <c r="D560" i="4"/>
  <c r="D559" i="4"/>
  <c r="D558" i="4"/>
  <c r="D557" i="4"/>
  <c r="D556" i="4"/>
  <c r="D555" i="4"/>
  <c r="D554" i="4"/>
  <c r="D553" i="4"/>
  <c r="D552" i="4"/>
  <c r="D551" i="4"/>
  <c r="D550" i="4"/>
  <c r="D549" i="4"/>
  <c r="D548" i="4"/>
  <c r="D547" i="4"/>
  <c r="D546" i="4"/>
  <c r="D545" i="4"/>
  <c r="D544" i="4"/>
  <c r="D543" i="4"/>
  <c r="D542" i="4"/>
  <c r="D541" i="4"/>
  <c r="D540" i="4"/>
  <c r="D539" i="4"/>
  <c r="D538" i="4"/>
  <c r="D537" i="4"/>
  <c r="D536" i="4"/>
  <c r="D535" i="4"/>
  <c r="D534" i="4"/>
  <c r="D533" i="4"/>
  <c r="D532" i="4"/>
  <c r="D531" i="4"/>
  <c r="D530" i="4"/>
  <c r="D529" i="4"/>
  <c r="D528" i="4"/>
  <c r="D527" i="4"/>
  <c r="D526" i="4"/>
  <c r="D525" i="4"/>
  <c r="D524" i="4"/>
  <c r="D523" i="4"/>
  <c r="D522" i="4"/>
  <c r="D521" i="4"/>
  <c r="D520" i="4"/>
  <c r="D519" i="4"/>
  <c r="D518" i="4"/>
  <c r="D517" i="4"/>
  <c r="D516" i="4"/>
  <c r="D515" i="4"/>
  <c r="D514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D456" i="4"/>
  <c r="D455" i="4"/>
  <c r="D454" i="4"/>
  <c r="D453" i="4"/>
  <c r="D452" i="4"/>
  <c r="D451" i="4"/>
  <c r="D450" i="4"/>
  <c r="D449" i="4"/>
  <c r="D448" i="4"/>
  <c r="D447" i="4"/>
  <c r="D446" i="4"/>
  <c r="D445" i="4"/>
  <c r="D444" i="4"/>
  <c r="D443" i="4"/>
  <c r="D442" i="4"/>
  <c r="D441" i="4"/>
  <c r="D440" i="4"/>
  <c r="D439" i="4"/>
  <c r="D438" i="4"/>
  <c r="D437" i="4"/>
  <c r="D436" i="4"/>
  <c r="D435" i="4"/>
  <c r="D434" i="4"/>
  <c r="D433" i="4"/>
  <c r="D432" i="4"/>
  <c r="D431" i="4"/>
  <c r="D430" i="4"/>
  <c r="D429" i="4"/>
  <c r="D428" i="4"/>
  <c r="D427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4" i="4"/>
  <c r="D413" i="4"/>
  <c r="D412" i="4"/>
  <c r="D411" i="4"/>
  <c r="D410" i="4"/>
  <c r="D409" i="4"/>
  <c r="D408" i="4"/>
  <c r="D407" i="4"/>
  <c r="D406" i="4"/>
  <c r="D405" i="4"/>
  <c r="D404" i="4"/>
  <c r="D403" i="4"/>
  <c r="D402" i="4"/>
  <c r="D401" i="4"/>
  <c r="D400" i="4"/>
  <c r="D399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71" i="4"/>
  <c r="D370" i="4"/>
  <c r="D369" i="4"/>
  <c r="D368" i="4"/>
  <c r="D367" i="4"/>
  <c r="D366" i="4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AJ25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R4" i="4"/>
  <c r="Z5" i="15" l="1"/>
  <c r="K21" i="12"/>
  <c r="L21" i="12" s="1"/>
  <c r="AD25" i="4"/>
  <c r="L19" i="5"/>
  <c r="G5" i="15"/>
  <c r="G7" i="15" s="1"/>
  <c r="G10" i="15" s="1"/>
  <c r="G12" i="15" s="1"/>
  <c r="H3" i="15"/>
  <c r="I3" i="15" s="1"/>
  <c r="G4" i="13"/>
  <c r="G5" i="13" s="1"/>
  <c r="G7" i="13" s="1"/>
  <c r="G10" i="13" s="1"/>
  <c r="G12" i="13" s="1"/>
  <c r="J32" i="5"/>
  <c r="K24" i="5"/>
  <c r="Q6" i="13"/>
  <c r="S6" i="15"/>
  <c r="AF25" i="4" l="1"/>
  <c r="AH25" i="4" s="1"/>
  <c r="H4" i="15"/>
  <c r="H5" i="15" s="1"/>
  <c r="H7" i="15" s="1"/>
  <c r="H10" i="15" s="1"/>
  <c r="H12" i="15" s="1"/>
  <c r="L21" i="5"/>
  <c r="K31" i="5"/>
  <c r="J33" i="5" s="1"/>
  <c r="I4" i="15"/>
  <c r="I5" i="15" s="1"/>
  <c r="I7" i="15" s="1"/>
  <c r="I10" i="15" s="1"/>
  <c r="I12" i="15" s="1"/>
  <c r="J3" i="15"/>
  <c r="L20" i="5"/>
  <c r="K32" i="5" s="1"/>
  <c r="H4" i="13"/>
  <c r="H5" i="13" s="1"/>
  <c r="H7" i="13" s="1"/>
  <c r="H10" i="13" s="1"/>
  <c r="H12" i="13" s="1"/>
  <c r="J4" i="15" l="1"/>
  <c r="J5" i="15" s="1"/>
  <c r="J7" i="15" s="1"/>
  <c r="J10" i="15" s="1"/>
  <c r="K10" i="15" s="1"/>
  <c r="Q16" i="15" s="1"/>
  <c r="J11" i="15" s="1"/>
  <c r="J12" i="15" s="1"/>
  <c r="D13" i="15" s="1"/>
  <c r="D15" i="15" s="1"/>
  <c r="D17" i="15" s="1"/>
  <c r="I4" i="13"/>
  <c r="I5" i="13" s="1"/>
  <c r="I7" i="13" s="1"/>
  <c r="I10" i="13" s="1"/>
  <c r="I12" i="13" s="1"/>
  <c r="J5" i="13" l="1"/>
  <c r="J7" i="13" s="1"/>
  <c r="J10" i="13" s="1"/>
  <c r="K10" i="13" l="1"/>
  <c r="P16" i="13" s="1"/>
  <c r="J11" i="13" s="1"/>
  <c r="J12" i="13" s="1"/>
  <c r="D13" i="13" s="1"/>
  <c r="D15" i="13" s="1"/>
  <c r="D17" i="13" s="1"/>
</calcChain>
</file>

<file path=xl/sharedStrings.xml><?xml version="1.0" encoding="utf-8"?>
<sst xmlns="http://schemas.openxmlformats.org/spreadsheetml/2006/main" count="263" uniqueCount="134">
  <si>
    <t>#</t>
  </si>
  <si>
    <t>Date</t>
  </si>
  <si>
    <t>Returns</t>
  </si>
  <si>
    <t>Close</t>
  </si>
  <si>
    <t>Mean</t>
  </si>
  <si>
    <t>SD</t>
  </si>
  <si>
    <t>NIFTY Price</t>
  </si>
  <si>
    <t>Regression Beta(3 years Daily)</t>
  </si>
  <si>
    <t xml:space="preserve">Regression Beta 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</si>
  <si>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</si>
  <si>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</si>
  <si>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</si>
  <si>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</si>
  <si>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</si>
  <si>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</si>
  <si>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</si>
  <si>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</si>
  <si>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</si>
  <si>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</si>
  <si>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</si>
  <si>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</si>
  <si>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</si>
  <si>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</si>
  <si>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</si>
  <si>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</si>
  <si>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</si>
  <si>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</si>
  <si>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</si>
  <si>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</si>
  <si>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</si>
  <si>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</si>
  <si>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</si>
  <si>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</si>
  <si>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</si>
  <si>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RESIDUAL OUTPUT</t>
  </si>
  <si>
    <t>Observation</t>
  </si>
  <si>
    <t>Predicted Y</t>
  </si>
  <si>
    <t>Residuals</t>
  </si>
  <si>
    <t>BETA</t>
  </si>
  <si>
    <r>
      <t>R</t>
    </r>
    <r>
      <rPr>
        <b/>
        <vertAlign val="superscript"/>
        <sz val="12"/>
        <color theme="0"/>
        <rFont val="Calibri (Body)"/>
      </rPr>
      <t>2</t>
    </r>
  </si>
  <si>
    <t>Cost of Debt</t>
  </si>
  <si>
    <t>Pre-Tax Cost of debt</t>
  </si>
  <si>
    <t>References</t>
  </si>
  <si>
    <t>https://www.bloomberg.com/markets/rates-bonds</t>
  </si>
  <si>
    <r>
      <t>Tax Rate</t>
    </r>
    <r>
      <rPr>
        <vertAlign val="superscript"/>
        <sz val="12"/>
        <color theme="1"/>
        <rFont val="Calibri (Body)"/>
      </rPr>
      <t xml:space="preserve"> 2</t>
    </r>
  </si>
  <si>
    <r>
      <t>Risk Free Rate</t>
    </r>
    <r>
      <rPr>
        <b/>
        <vertAlign val="superscript"/>
        <sz val="11"/>
        <color theme="1"/>
        <rFont val="Calibri"/>
        <family val="2"/>
      </rPr>
      <t>1</t>
    </r>
  </si>
  <si>
    <t>https://pages.stern.nyu.edu/~adamodar/New_Home_Page/datafile/ctryprem.html</t>
  </si>
  <si>
    <t>Cost of Equity</t>
  </si>
  <si>
    <t>Risk free Rate</t>
  </si>
  <si>
    <t>Beta</t>
  </si>
  <si>
    <t>Capital Structure</t>
  </si>
  <si>
    <t>Total Capital</t>
  </si>
  <si>
    <t>Debt/Equity</t>
  </si>
  <si>
    <t>Weight</t>
  </si>
  <si>
    <t>%</t>
  </si>
  <si>
    <t>Weighted Average Cost of Capital</t>
  </si>
  <si>
    <t>Total cost</t>
  </si>
  <si>
    <t>Total weight</t>
  </si>
  <si>
    <t>Debt</t>
  </si>
  <si>
    <t>Equity</t>
  </si>
  <si>
    <t>WACC</t>
  </si>
  <si>
    <t>https://www.v2retail.com/wp-content/uploads/2018/06/V2-Retail-Annual-Report-2022-23.pdf</t>
  </si>
  <si>
    <r>
      <t>Interest expenses</t>
    </r>
    <r>
      <rPr>
        <vertAlign val="superscript"/>
        <sz val="12"/>
        <color theme="1"/>
        <rFont val="Calibri (Body)"/>
      </rPr>
      <t>5</t>
    </r>
  </si>
  <si>
    <r>
      <t>Total Borrowings</t>
    </r>
    <r>
      <rPr>
        <vertAlign val="superscript"/>
        <sz val="12"/>
        <color theme="1"/>
        <rFont val="Calibri (Body)"/>
      </rPr>
      <t>5</t>
    </r>
  </si>
  <si>
    <r>
      <t>Market Capitalization</t>
    </r>
    <r>
      <rPr>
        <vertAlign val="superscript"/>
        <sz val="12"/>
        <color theme="1"/>
        <rFont val="Calibri (Body)"/>
      </rPr>
      <t>4</t>
    </r>
  </si>
  <si>
    <t>https://www.nseindia.com/get-quotes/equity?symbol=V2RETAIL</t>
  </si>
  <si>
    <r>
      <t>Equity Risk Premium</t>
    </r>
    <r>
      <rPr>
        <vertAlign val="superscript"/>
        <sz val="12"/>
        <color theme="1"/>
        <rFont val="Calibri (Body)"/>
      </rPr>
      <t>3</t>
    </r>
  </si>
  <si>
    <r>
      <t>Debt</t>
    </r>
    <r>
      <rPr>
        <vertAlign val="superscript"/>
        <sz val="12"/>
        <color theme="1"/>
        <rFont val="Calibri (Body)"/>
      </rPr>
      <t>5</t>
    </r>
  </si>
  <si>
    <t>Assumptions</t>
  </si>
  <si>
    <t>Assuming Book value of debt equal to market value</t>
  </si>
  <si>
    <t>Daily return</t>
  </si>
  <si>
    <t>d/e</t>
  </si>
  <si>
    <t>Beta unlevered</t>
  </si>
  <si>
    <t xml:space="preserve">new debt structure </t>
  </si>
  <si>
    <t>Beta (levered new)</t>
  </si>
  <si>
    <t>No of Shares</t>
  </si>
  <si>
    <t xml:space="preserve">Share Price </t>
  </si>
  <si>
    <t>Working Capital</t>
  </si>
  <si>
    <t>Fixed assets(non-current assets)</t>
  </si>
  <si>
    <t xml:space="preserve">Average tax rate </t>
  </si>
  <si>
    <t>infinity</t>
  </si>
  <si>
    <t>EBIT</t>
  </si>
  <si>
    <t>CA</t>
  </si>
  <si>
    <t>Tax</t>
  </si>
  <si>
    <t>CL</t>
  </si>
  <si>
    <t>% change</t>
  </si>
  <si>
    <t xml:space="preserve">avg tax rate </t>
  </si>
  <si>
    <t>Add:Dep</t>
  </si>
  <si>
    <t>EAT</t>
  </si>
  <si>
    <t>WC</t>
  </si>
  <si>
    <t>Average</t>
  </si>
  <si>
    <t>change in nwc</t>
  </si>
  <si>
    <t>OCF</t>
  </si>
  <si>
    <t xml:space="preserve">average %change </t>
  </si>
  <si>
    <t>Less:Capex</t>
  </si>
  <si>
    <t>Kd</t>
  </si>
  <si>
    <t>Less:WC</t>
  </si>
  <si>
    <t>Ke</t>
  </si>
  <si>
    <t>FCFF</t>
  </si>
  <si>
    <t>Wd</t>
  </si>
  <si>
    <t>TV</t>
  </si>
  <si>
    <t>We</t>
  </si>
  <si>
    <t>Total cash flow</t>
  </si>
  <si>
    <t>Industry Growth Rate</t>
  </si>
  <si>
    <t>Enterprise value</t>
  </si>
  <si>
    <t xml:space="preserve">Terminal Growth Rate </t>
  </si>
  <si>
    <t>Economy</t>
  </si>
  <si>
    <t>Less:Net Debt(debt-cash)</t>
  </si>
  <si>
    <t>Equity value</t>
  </si>
  <si>
    <t>No.of outstanding shares</t>
  </si>
  <si>
    <t>Terminal Value</t>
  </si>
  <si>
    <t>Equity value per share</t>
  </si>
  <si>
    <t>capex</t>
  </si>
  <si>
    <t>WACC Calculation - Archies</t>
  </si>
  <si>
    <t>Havells</t>
  </si>
  <si>
    <t>ALSTOM		 Price</t>
  </si>
  <si>
    <t>ALSTOM</t>
  </si>
  <si>
    <t>No of share</t>
  </si>
  <si>
    <t>Share price</t>
  </si>
  <si>
    <t>In Thousand</t>
  </si>
  <si>
    <t>Note:</t>
  </si>
  <si>
    <t>All the value are in thousand</t>
  </si>
  <si>
    <t>Source:</t>
  </si>
  <si>
    <t>https://finance.yahoo.com/quote/ALSTONE.BO/</t>
  </si>
  <si>
    <t>https://www.bloomberg.com/profile/company/1156L:US</t>
  </si>
  <si>
    <t>Depreciation</t>
  </si>
  <si>
    <t>Average depreciation percentage as a weight of ebit</t>
  </si>
  <si>
    <t>Average capex</t>
  </si>
  <si>
    <t>NOTE:</t>
  </si>
  <si>
    <t>All Value are in Thousand</t>
  </si>
  <si>
    <t>Source</t>
  </si>
  <si>
    <t>*All the values are in Thousand</t>
  </si>
  <si>
    <t>Sources</t>
  </si>
  <si>
    <t>WACC Calculation - HAVELLS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</si>
</sst>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%"/>
    <numFmt numFmtId="166" formatCode="[$₹-439]#,##0.00"/>
    <numFmt numFmtId="167" formatCode="&quot;₹&quot;\ #,##0.00"/>
    <numFmt numFmtId="168" formatCode="0.000000000000000%"/>
    <numFmt numFmtId="173" formatCode="0.0000000"/>
  </numFmts>
  <fonts count="2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b/>
      <sz val="10"/>
      <color rgb="FF002060"/>
      <name val="Helvetica Neue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calibri"/>
      <family val="2"/>
    </font>
    <font>
      <i/>
      <sz val="12"/>
      <color theme="1"/>
      <name val="Calibri"/>
      <family val="2"/>
      <scheme val="minor"/>
    </font>
    <font>
      <b/>
      <sz val="11"/>
      <color theme="0"/>
      <name val="calibri"/>
      <family val="2"/>
    </font>
    <font>
      <vertAlign val="superscript"/>
      <sz val="12"/>
      <color theme="1"/>
      <name val="Calibri (Body)"/>
    </font>
    <font>
      <b/>
      <vertAlign val="superscript"/>
      <sz val="12"/>
      <color theme="0"/>
      <name val="Calibri (Body)"/>
    </font>
    <font>
      <sz val="18"/>
      <color theme="0"/>
      <name val="Calibri"/>
      <family val="2"/>
      <scheme val="minor"/>
    </font>
    <font>
      <b/>
      <vertAlign val="superscript"/>
      <sz val="11"/>
      <color theme="1"/>
      <name val="Calibri"/>
      <family val="2"/>
    </font>
    <font>
      <i/>
      <sz val="14"/>
      <color theme="0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sz val="12"/>
      <color rgb="FF903DA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Helvetica"/>
      <family val="2"/>
    </font>
    <font>
      <i/>
      <sz val="10"/>
      <color theme="0" tint="-0.499984740745262"/>
      <name val="Calibri"/>
      <family val="2"/>
      <scheme val="minor"/>
    </font>
    <font>
      <i/>
      <sz val="12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vertAlign val="subscript"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rgb="FF00206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hair">
        <color rgb="FF002060"/>
      </top>
      <bottom style="thick">
        <color rgb="FF002060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ck">
        <color rgb="FF002060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dotted">
        <color auto="1"/>
      </bottom>
      <diagonal/>
    </border>
    <border>
      <left/>
      <right/>
      <top style="hair">
        <color rgb="FF002060"/>
      </top>
      <bottom/>
      <diagonal/>
    </border>
    <border>
      <left/>
      <right/>
      <top style="thin">
        <color rgb="FF002060"/>
      </top>
      <bottom style="hair">
        <color rgb="FF002060"/>
      </bottom>
      <diagonal/>
    </border>
    <border>
      <left/>
      <right/>
      <top style="hair">
        <color rgb="FF002060"/>
      </top>
      <bottom style="hair">
        <color rgb="FF002060"/>
      </bottom>
      <diagonal/>
    </border>
    <border>
      <left/>
      <right/>
      <top style="hair">
        <color rgb="FF002060"/>
      </top>
      <bottom style="dotted">
        <color rgb="FF00206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46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3" borderId="1" xfId="0" applyFont="1" applyFill="1" applyBorder="1"/>
    <xf numFmtId="2" fontId="5" fillId="0" borderId="0" xfId="0" applyNumberFormat="1" applyFont="1"/>
    <xf numFmtId="14" fontId="6" fillId="0" borderId="0" xfId="0" applyNumberFormat="1" applyFont="1" applyAlignment="1">
      <alignment horizontal="left" vertical="top"/>
    </xf>
    <xf numFmtId="0" fontId="8" fillId="0" borderId="1" xfId="0" applyFont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10" fontId="0" fillId="0" borderId="0" xfId="1" applyNumberFormat="1" applyFont="1"/>
    <xf numFmtId="10" fontId="0" fillId="0" borderId="0" xfId="0" applyNumberFormat="1"/>
    <xf numFmtId="0" fontId="7" fillId="3" borderId="5" xfId="0" applyFont="1" applyFill="1" applyBorder="1"/>
    <xf numFmtId="0" fontId="7" fillId="3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0" fillId="0" borderId="6" xfId="0" applyBorder="1"/>
    <xf numFmtId="10" fontId="0" fillId="0" borderId="0" xfId="1" applyNumberFormat="1" applyFont="1" applyBorder="1"/>
    <xf numFmtId="0" fontId="0" fillId="0" borderId="12" xfId="0" applyBorder="1"/>
    <xf numFmtId="0" fontId="2" fillId="2" borderId="0" xfId="0" applyFont="1" applyFill="1"/>
    <xf numFmtId="0" fontId="2" fillId="2" borderId="1" xfId="0" applyFont="1" applyFill="1" applyBorder="1"/>
    <xf numFmtId="0" fontId="0" fillId="0" borderId="3" xfId="0" applyBorder="1"/>
    <xf numFmtId="0" fontId="9" fillId="0" borderId="13" xfId="0" applyFont="1" applyBorder="1"/>
    <xf numFmtId="0" fontId="0" fillId="0" borderId="13" xfId="0" applyBorder="1"/>
    <xf numFmtId="0" fontId="16" fillId="2" borderId="0" xfId="0" applyFont="1" applyFill="1" applyAlignment="1">
      <alignment horizontal="center"/>
    </xf>
    <xf numFmtId="0" fontId="17" fillId="0" borderId="0" xfId="0" applyFont="1"/>
    <xf numFmtId="10" fontId="18" fillId="0" borderId="0" xfId="0" applyNumberFormat="1" applyFont="1"/>
    <xf numFmtId="10" fontId="18" fillId="0" borderId="13" xfId="0" applyNumberFormat="1" applyFont="1" applyBorder="1"/>
    <xf numFmtId="0" fontId="0" fillId="0" borderId="10" xfId="0" applyBorder="1"/>
    <xf numFmtId="10" fontId="0" fillId="0" borderId="3" xfId="0" applyNumberFormat="1" applyBorder="1"/>
    <xf numFmtId="10" fontId="0" fillId="4" borderId="0" xfId="1" applyNumberFormat="1" applyFont="1" applyFill="1"/>
    <xf numFmtId="2" fontId="0" fillId="0" borderId="13" xfId="0" applyNumberFormat="1" applyBorder="1"/>
    <xf numFmtId="0" fontId="19" fillId="0" borderId="0" xfId="2"/>
    <xf numFmtId="0" fontId="9" fillId="0" borderId="6" xfId="0" applyFont="1" applyBorder="1"/>
    <xf numFmtId="0" fontId="0" fillId="0" borderId="14" xfId="0" applyBorder="1" applyAlignment="1">
      <alignment horizontal="left" indent="2"/>
    </xf>
    <xf numFmtId="164" fontId="0" fillId="0" borderId="0" xfId="0" applyNumberFormat="1"/>
    <xf numFmtId="0" fontId="0" fillId="0" borderId="15" xfId="0" applyBorder="1"/>
    <xf numFmtId="9" fontId="0" fillId="0" borderId="15" xfId="0" applyNumberFormat="1" applyBorder="1"/>
    <xf numFmtId="0" fontId="0" fillId="0" borderId="14" xfId="0" applyBorder="1"/>
    <xf numFmtId="10" fontId="0" fillId="4" borderId="14" xfId="1" applyNumberFormat="1" applyFont="1" applyFill="1" applyBorder="1"/>
    <xf numFmtId="166" fontId="0" fillId="0" borderId="0" xfId="0" applyNumberFormat="1"/>
    <xf numFmtId="166" fontId="0" fillId="0" borderId="15" xfId="0" applyNumberFormat="1" applyBorder="1"/>
    <xf numFmtId="0" fontId="20" fillId="0" borderId="0" xfId="0" applyFont="1"/>
    <xf numFmtId="10" fontId="0" fillId="0" borderId="0" xfId="1" applyNumberFormat="1" applyFont="1" applyAlignment="1">
      <alignment horizontal="center" vertical="center"/>
    </xf>
    <xf numFmtId="0" fontId="4" fillId="2" borderId="16" xfId="0" applyFont="1" applyFill="1" applyBorder="1"/>
    <xf numFmtId="10" fontId="0" fillId="0" borderId="16" xfId="1" applyNumberFormat="1" applyFont="1" applyBorder="1"/>
    <xf numFmtId="0" fontId="21" fillId="0" borderId="0" xfId="0" applyFont="1"/>
    <xf numFmtId="166" fontId="18" fillId="0" borderId="0" xfId="0" applyNumberFormat="1" applyFont="1"/>
    <xf numFmtId="2" fontId="0" fillId="0" borderId="0" xfId="0" applyNumberFormat="1"/>
    <xf numFmtId="2" fontId="0" fillId="0" borderId="10" xfId="0" applyNumberFormat="1" applyBorder="1"/>
    <xf numFmtId="1" fontId="0" fillId="0" borderId="13" xfId="0" applyNumberFormat="1" applyBorder="1"/>
    <xf numFmtId="15" fontId="0" fillId="0" borderId="0" xfId="0" applyNumberFormat="1"/>
    <xf numFmtId="15" fontId="3" fillId="0" borderId="0" xfId="0" applyNumberFormat="1" applyFont="1"/>
    <xf numFmtId="15" fontId="3" fillId="0" borderId="9" xfId="0" applyNumberFormat="1" applyFont="1" applyBorder="1"/>
    <xf numFmtId="2" fontId="0" fillId="0" borderId="9" xfId="0" applyNumberFormat="1" applyBorder="1"/>
    <xf numFmtId="10" fontId="0" fillId="0" borderId="9" xfId="1" applyNumberFormat="1" applyFont="1" applyBorder="1"/>
    <xf numFmtId="14" fontId="6" fillId="0" borderId="9" xfId="0" applyNumberFormat="1" applyFont="1" applyBorder="1" applyAlignment="1">
      <alignment horizontal="left" vertical="top"/>
    </xf>
    <xf numFmtId="0" fontId="4" fillId="0" borderId="0" xfId="0" applyFont="1"/>
    <xf numFmtId="0" fontId="22" fillId="0" borderId="0" xfId="0" applyFont="1"/>
    <xf numFmtId="0" fontId="23" fillId="0" borderId="0" xfId="2" applyFont="1"/>
    <xf numFmtId="0" fontId="16" fillId="3" borderId="0" xfId="0" applyFont="1" applyFill="1" applyAlignment="1">
      <alignment horizontal="center"/>
    </xf>
    <xf numFmtId="2" fontId="18" fillId="0" borderId="0" xfId="0" applyNumberFormat="1" applyFont="1"/>
    <xf numFmtId="2" fontId="0" fillId="0" borderId="15" xfId="0" applyNumberFormat="1" applyBorder="1"/>
    <xf numFmtId="9" fontId="0" fillId="0" borderId="0" xfId="1" applyFont="1"/>
    <xf numFmtId="9" fontId="0" fillId="0" borderId="0" xfId="0" applyNumberFormat="1"/>
    <xf numFmtId="0" fontId="24" fillId="0" borderId="0" xfId="0" applyFont="1"/>
    <xf numFmtId="0" fontId="24" fillId="5" borderId="17" xfId="0" applyFont="1" applyFill="1" applyBorder="1"/>
    <xf numFmtId="0" fontId="0" fillId="0" borderId="17" xfId="0" applyBorder="1"/>
    <xf numFmtId="0" fontId="0" fillId="0" borderId="17" xfId="0" applyBorder="1" applyAlignment="1">
      <alignment horizontal="center"/>
    </xf>
    <xf numFmtId="2" fontId="0" fillId="0" borderId="17" xfId="0" applyNumberFormat="1" applyBorder="1"/>
    <xf numFmtId="9" fontId="0" fillId="0" borderId="17" xfId="1" applyFont="1" applyBorder="1"/>
    <xf numFmtId="0" fontId="24" fillId="5" borderId="0" xfId="0" applyFont="1" applyFill="1"/>
    <xf numFmtId="10" fontId="0" fillId="0" borderId="17" xfId="0" applyNumberFormat="1" applyBorder="1"/>
    <xf numFmtId="10" fontId="0" fillId="0" borderId="17" xfId="1" applyNumberFormat="1" applyFont="1" applyBorder="1"/>
    <xf numFmtId="9" fontId="0" fillId="0" borderId="17" xfId="0" applyNumberFormat="1" applyBorder="1"/>
    <xf numFmtId="0" fontId="24" fillId="5" borderId="18" xfId="0" applyFont="1" applyFill="1" applyBorder="1"/>
    <xf numFmtId="0" fontId="24" fillId="0" borderId="18" xfId="0" applyFont="1" applyBorder="1"/>
    <xf numFmtId="167" fontId="0" fillId="0" borderId="0" xfId="0" applyNumberFormat="1"/>
    <xf numFmtId="3" fontId="0" fillId="0" borderId="17" xfId="0" applyNumberFormat="1" applyBorder="1"/>
    <xf numFmtId="0" fontId="24" fillId="5" borderId="20" xfId="0" applyFont="1" applyFill="1" applyBorder="1"/>
    <xf numFmtId="0" fontId="0" fillId="0" borderId="20" xfId="0" applyBorder="1"/>
    <xf numFmtId="2" fontId="0" fillId="0" borderId="20" xfId="0" applyNumberFormat="1" applyBorder="1"/>
    <xf numFmtId="167" fontId="0" fillId="0" borderId="20" xfId="0" applyNumberFormat="1" applyBorder="1"/>
    <xf numFmtId="0" fontId="0" fillId="5" borderId="17" xfId="0" applyFill="1" applyBorder="1"/>
    <xf numFmtId="168" fontId="0" fillId="0" borderId="6" xfId="0" applyNumberFormat="1" applyBorder="1"/>
    <xf numFmtId="2" fontId="0" fillId="0" borderId="0" xfId="1" applyNumberFormat="1" applyFont="1"/>
    <xf numFmtId="14" fontId="0" fillId="0" borderId="0" xfId="0" applyNumberFormat="1"/>
    <xf numFmtId="0" fontId="0" fillId="0" borderId="0" xfId="0" applyFill="1" applyBorder="1" applyAlignment="1"/>
    <xf numFmtId="0" fontId="0" fillId="0" borderId="9" xfId="0" applyFill="1" applyBorder="1" applyAlignment="1"/>
    <xf numFmtId="0" fontId="10" fillId="0" borderId="11" xfId="0" applyFont="1" applyFill="1" applyBorder="1" applyAlignment="1">
      <alignment horizontal="center"/>
    </xf>
    <xf numFmtId="0" fontId="10" fillId="0" borderId="11" xfId="0" applyFont="1" applyFill="1" applyBorder="1" applyAlignment="1">
      <alignment horizontal="centerContinuous"/>
    </xf>
    <xf numFmtId="0" fontId="25" fillId="0" borderId="0" xfId="0" applyFont="1"/>
    <xf numFmtId="0" fontId="0" fillId="0" borderId="17" xfId="0" applyBorder="1" applyAlignment="1">
      <alignment horizontal="right"/>
    </xf>
    <xf numFmtId="2" fontId="0" fillId="0" borderId="17" xfId="0" applyNumberFormat="1" applyBorder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167" fontId="0" fillId="0" borderId="17" xfId="0" applyNumberFormat="1" applyBorder="1" applyAlignment="1">
      <alignment horizontal="right"/>
    </xf>
    <xf numFmtId="2" fontId="0" fillId="0" borderId="3" xfId="0" applyNumberFormat="1" applyBorder="1"/>
    <xf numFmtId="0" fontId="24" fillId="6" borderId="17" xfId="0" applyFont="1" applyFill="1" applyBorder="1"/>
    <xf numFmtId="0" fontId="0" fillId="6" borderId="17" xfId="0" applyFill="1" applyBorder="1"/>
    <xf numFmtId="9" fontId="0" fillId="0" borderId="13" xfId="1" applyFont="1" applyBorder="1"/>
    <xf numFmtId="0" fontId="24" fillId="0" borderId="3" xfId="0" applyFont="1" applyBorder="1"/>
    <xf numFmtId="2" fontId="3" fillId="0" borderId="21" xfId="0" applyNumberFormat="1" applyFont="1" applyBorder="1"/>
    <xf numFmtId="0" fontId="0" fillId="0" borderId="21" xfId="0" applyBorder="1"/>
    <xf numFmtId="2" fontId="3" fillId="0" borderId="22" xfId="0" applyNumberFormat="1" applyFont="1" applyBorder="1"/>
    <xf numFmtId="0" fontId="0" fillId="0" borderId="22" xfId="0" applyBorder="1"/>
    <xf numFmtId="0" fontId="4" fillId="2" borderId="0" xfId="0" applyFont="1" applyFill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0" fontId="3" fillId="4" borderId="3" xfId="1" applyNumberFormat="1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3" xfId="0" applyBorder="1" applyAlignment="1">
      <alignment horizontal="center"/>
    </xf>
    <xf numFmtId="173" fontId="0" fillId="0" borderId="13" xfId="0" applyNumberFormat="1" applyBorder="1"/>
    <xf numFmtId="0" fontId="3" fillId="6" borderId="0" xfId="0" applyFont="1" applyFill="1"/>
    <xf numFmtId="0" fontId="0" fillId="0" borderId="0" xfId="0" applyBorder="1"/>
    <xf numFmtId="0" fontId="8" fillId="0" borderId="0" xfId="0" applyFont="1" applyBorder="1"/>
    <xf numFmtId="14" fontId="0" fillId="0" borderId="21" xfId="0" applyNumberFormat="1" applyBorder="1"/>
    <xf numFmtId="2" fontId="0" fillId="0" borderId="21" xfId="0" applyNumberFormat="1" applyBorder="1"/>
    <xf numFmtId="14" fontId="0" fillId="0" borderId="14" xfId="0" applyNumberFormat="1" applyBorder="1"/>
    <xf numFmtId="2" fontId="0" fillId="0" borderId="14" xfId="0" applyNumberFormat="1" applyBorder="1"/>
    <xf numFmtId="10" fontId="0" fillId="0" borderId="14" xfId="1" applyNumberFormat="1" applyFont="1" applyBorder="1"/>
    <xf numFmtId="14" fontId="0" fillId="0" borderId="22" xfId="0" applyNumberFormat="1" applyBorder="1"/>
    <xf numFmtId="2" fontId="0" fillId="0" borderId="22" xfId="0" applyNumberFormat="1" applyBorder="1"/>
    <xf numFmtId="10" fontId="0" fillId="0" borderId="22" xfId="1" applyNumberFormat="1" applyFont="1" applyBorder="1"/>
    <xf numFmtId="0" fontId="7" fillId="3" borderId="23" xfId="0" applyFont="1" applyFill="1" applyBorder="1"/>
    <xf numFmtId="0" fontId="7" fillId="3" borderId="23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/>
    </xf>
    <xf numFmtId="14" fontId="0" fillId="0" borderId="24" xfId="0" applyNumberFormat="1" applyBorder="1"/>
    <xf numFmtId="0" fontId="0" fillId="0" borderId="24" xfId="0" applyBorder="1"/>
    <xf numFmtId="14" fontId="0" fillId="0" borderId="25" xfId="0" applyNumberFormat="1" applyBorder="1"/>
    <xf numFmtId="0" fontId="0" fillId="0" borderId="25" xfId="0" applyBorder="1"/>
    <xf numFmtId="10" fontId="0" fillId="0" borderId="25" xfId="1" applyNumberFormat="1" applyFont="1" applyBorder="1"/>
    <xf numFmtId="14" fontId="0" fillId="0" borderId="26" xfId="0" applyNumberFormat="1" applyBorder="1"/>
    <xf numFmtId="0" fontId="0" fillId="0" borderId="26" xfId="0" applyBorder="1"/>
    <xf numFmtId="10" fontId="0" fillId="0" borderId="26" xfId="1" applyNumberFormat="1" applyFont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903DA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 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'Beta 1'!$D$7:$D$637</c:f>
              <c:numCache>
                <c:formatCode>0.00%</c:formatCode>
                <c:ptCount val="631"/>
                <c:pt idx="0">
                  <c:v>1.0186874220935935E-2</c:v>
                </c:pt>
                <c:pt idx="1">
                  <c:v>6.7395852346920151E-3</c:v>
                </c:pt>
                <c:pt idx="2">
                  <c:v>-1.0005417441876725E-2</c:v>
                </c:pt>
                <c:pt idx="3">
                  <c:v>3.7641836440080946E-3</c:v>
                </c:pt>
                <c:pt idx="4">
                  <c:v>1.0700318893651863E-2</c:v>
                </c:pt>
                <c:pt idx="5">
                  <c:v>2.9133112665290341E-3</c:v>
                </c:pt>
                <c:pt idx="6">
                  <c:v>8.6731157110616162E-3</c:v>
                </c:pt>
                <c:pt idx="7">
                  <c:v>2.4956237375072317E-3</c:v>
                </c:pt>
                <c:pt idx="8">
                  <c:v>-1.1232355005953847E-4</c:v>
                </c:pt>
                <c:pt idx="9">
                  <c:v>2.8675682456212855E-3</c:v>
                </c:pt>
                <c:pt idx="10">
                  <c:v>-1.0653690561313956E-2</c:v>
                </c:pt>
                <c:pt idx="11">
                  <c:v>-9.6422403995689715E-3</c:v>
                </c:pt>
                <c:pt idx="12">
                  <c:v>-1.0112406181490457E-2</c:v>
                </c:pt>
                <c:pt idx="13">
                  <c:v>-7.8757452835501937E-3</c:v>
                </c:pt>
                <c:pt idx="14">
                  <c:v>-2.6567905229389972E-2</c:v>
                </c:pt>
                <c:pt idx="15">
                  <c:v>7.5134912583035007E-3</c:v>
                </c:pt>
                <c:pt idx="16">
                  <c:v>-9.7117329072524492E-3</c:v>
                </c:pt>
                <c:pt idx="17">
                  <c:v>-4.7931618440448059E-4</c:v>
                </c:pt>
                <c:pt idx="18">
                  <c:v>1.3910717834181083E-2</c:v>
                </c:pt>
                <c:pt idx="19">
                  <c:v>1.3667938612165849E-2</c:v>
                </c:pt>
                <c:pt idx="20">
                  <c:v>1.1557838606981006E-2</c:v>
                </c:pt>
                <c:pt idx="21">
                  <c:v>-1.2362248650168826E-2</c:v>
                </c:pt>
                <c:pt idx="22">
                  <c:v>-2.4998826865528247E-3</c:v>
                </c:pt>
                <c:pt idx="23">
                  <c:v>-1.7281112935006348E-2</c:v>
                </c:pt>
                <c:pt idx="24">
                  <c:v>3.0876976464707553E-3</c:v>
                </c:pt>
                <c:pt idx="25">
                  <c:v>1.1412152315867301E-2</c:v>
                </c:pt>
                <c:pt idx="26">
                  <c:v>8.1339010780827944E-3</c:v>
                </c:pt>
                <c:pt idx="27">
                  <c:v>-1.3126296891793515E-2</c:v>
                </c:pt>
                <c:pt idx="28">
                  <c:v>-3.0616222909682054E-2</c:v>
                </c:pt>
                <c:pt idx="29">
                  <c:v>3.025912641411278E-2</c:v>
                </c:pt>
                <c:pt idx="30">
                  <c:v>-1.7432697608403243E-3</c:v>
                </c:pt>
                <c:pt idx="31">
                  <c:v>-1.01601475525655E-3</c:v>
                </c:pt>
                <c:pt idx="32">
                  <c:v>-1.6353356124623089E-3</c:v>
                </c:pt>
                <c:pt idx="33">
                  <c:v>-4.0315569219888841E-3</c:v>
                </c:pt>
                <c:pt idx="34">
                  <c:v>-6.6515660747001083E-3</c:v>
                </c:pt>
                <c:pt idx="35">
                  <c:v>-1.6937094301953718E-3</c:v>
                </c:pt>
                <c:pt idx="36">
                  <c:v>-4.778103848915069E-2</c:v>
                </c:pt>
                <c:pt idx="37">
                  <c:v>2.5261660152448528E-2</c:v>
                </c:pt>
                <c:pt idx="38">
                  <c:v>8.1340342901834867E-3</c:v>
                </c:pt>
                <c:pt idx="39">
                  <c:v>-1.119163313012894E-2</c:v>
                </c:pt>
                <c:pt idx="40">
                  <c:v>-6.4975772584287186E-3</c:v>
                </c:pt>
                <c:pt idx="41">
                  <c:v>-1.5317032015141119E-2</c:v>
                </c:pt>
                <c:pt idx="42">
                  <c:v>-2.3526684694323931E-2</c:v>
                </c:pt>
                <c:pt idx="43">
                  <c:v>9.4747764659202389E-3</c:v>
                </c:pt>
                <c:pt idx="44">
                  <c:v>2.0726290084795894E-2</c:v>
                </c:pt>
                <c:pt idx="45">
                  <c:v>1.526738723670933E-2</c:v>
                </c:pt>
                <c:pt idx="46">
                  <c:v>2.142153743765671E-3</c:v>
                </c:pt>
                <c:pt idx="47">
                  <c:v>1.4482565012425206E-2</c:v>
                </c:pt>
                <c:pt idx="48">
                  <c:v>-1.2346456488677174E-2</c:v>
                </c:pt>
                <c:pt idx="49">
                  <c:v>1.8745100462101708E-2</c:v>
                </c:pt>
                <c:pt idx="50">
                  <c:v>1.8361988364277521E-2</c:v>
                </c:pt>
                <c:pt idx="51">
                  <c:v>-9.8022024778363463E-3</c:v>
                </c:pt>
                <c:pt idx="52">
                  <c:v>1.1561223274316348E-2</c:v>
                </c:pt>
                <c:pt idx="53">
                  <c:v>-4.0339354335711232E-3</c:v>
                </c:pt>
                <c:pt idx="54">
                  <c:v>-1.3278937286094041E-3</c:v>
                </c:pt>
                <c:pt idx="55">
                  <c:v>-4.0498758909001172E-3</c:v>
                </c:pt>
                <c:pt idx="56">
                  <c:v>4.022619949862998E-3</c:v>
                </c:pt>
                <c:pt idx="57">
                  <c:v>5.9981872604808811E-3</c:v>
                </c:pt>
                <c:pt idx="58">
                  <c:v>9.9824655967684604E-3</c:v>
                </c:pt>
                <c:pt idx="59">
                  <c:v>-1.9144771620019144E-3</c:v>
                </c:pt>
                <c:pt idx="60">
                  <c:v>1.1777965272906756E-2</c:v>
                </c:pt>
                <c:pt idx="61">
                  <c:v>2.1671841346751729E-2</c:v>
                </c:pt>
                <c:pt idx="62">
                  <c:v>-5.3175577963616221E-3</c:v>
                </c:pt>
                <c:pt idx="63">
                  <c:v>-8.3391803233976245E-3</c:v>
                </c:pt>
                <c:pt idx="64">
                  <c:v>-9.4397411398504973E-3</c:v>
                </c:pt>
                <c:pt idx="65">
                  <c:v>8.2087593838254345E-3</c:v>
                </c:pt>
                <c:pt idx="66">
                  <c:v>-6.1514979408996227E-3</c:v>
                </c:pt>
                <c:pt idx="67">
                  <c:v>-8.1838106694249596E-3</c:v>
                </c:pt>
                <c:pt idx="68">
                  <c:v>-3.1174815927422455E-3</c:v>
                </c:pt>
                <c:pt idx="69">
                  <c:v>-1.7281188009776776E-2</c:v>
                </c:pt>
                <c:pt idx="70">
                  <c:v>-1.2519178806194436E-2</c:v>
                </c:pt>
                <c:pt idx="71">
                  <c:v>1.0490244559461803E-2</c:v>
                </c:pt>
                <c:pt idx="72">
                  <c:v>1.494167824506965E-2</c:v>
                </c:pt>
                <c:pt idx="73">
                  <c:v>-1.2686452569506885E-2</c:v>
                </c:pt>
                <c:pt idx="74">
                  <c:v>-1.2695122564117107E-2</c:v>
                </c:pt>
                <c:pt idx="75">
                  <c:v>1.4560121586500989E-2</c:v>
                </c:pt>
                <c:pt idx="76">
                  <c:v>-9.4414435739172062E-3</c:v>
                </c:pt>
                <c:pt idx="77">
                  <c:v>1.2128508853986029E-2</c:v>
                </c:pt>
                <c:pt idx="78">
                  <c:v>-8.2632403818144479E-3</c:v>
                </c:pt>
                <c:pt idx="79">
                  <c:v>-1.9559171277049136E-3</c:v>
                </c:pt>
                <c:pt idx="80">
                  <c:v>-2.293618345244024E-2</c:v>
                </c:pt>
                <c:pt idx="81">
                  <c:v>3.0284825864705374E-4</c:v>
                </c:pt>
                <c:pt idx="82">
                  <c:v>-1.6268421661968954E-2</c:v>
                </c:pt>
                <c:pt idx="83">
                  <c:v>-6.6661827100311811E-3</c:v>
                </c:pt>
                <c:pt idx="84">
                  <c:v>-3.7909688460063757E-3</c:v>
                </c:pt>
                <c:pt idx="85">
                  <c:v>-4.4919933667654033E-3</c:v>
                </c:pt>
                <c:pt idx="86">
                  <c:v>-2.2211752119105827E-2</c:v>
                </c:pt>
                <c:pt idx="87">
                  <c:v>-1.6352232413968106E-3</c:v>
                </c:pt>
                <c:pt idx="88">
                  <c:v>3.8112305680664672E-3</c:v>
                </c:pt>
                <c:pt idx="89">
                  <c:v>2.6321935901528027E-2</c:v>
                </c:pt>
                <c:pt idx="90">
                  <c:v>-1.1685620062284103E-3</c:v>
                </c:pt>
                <c:pt idx="91">
                  <c:v>-2.6532725329820431E-2</c:v>
                </c:pt>
                <c:pt idx="92">
                  <c:v>2.8891038793604048E-2</c:v>
                </c:pt>
                <c:pt idx="93">
                  <c:v>-3.1630222740635042E-3</c:v>
                </c:pt>
                <c:pt idx="94">
                  <c:v>-5.5227542244422126E-3</c:v>
                </c:pt>
                <c:pt idx="95">
                  <c:v>-6.1612191880982166E-3</c:v>
                </c:pt>
                <c:pt idx="96">
                  <c:v>9.0073873227195633E-3</c:v>
                </c:pt>
                <c:pt idx="97">
                  <c:v>1.1273847156144254E-2</c:v>
                </c:pt>
                <c:pt idx="98">
                  <c:v>1.8893205135366554E-2</c:v>
                </c:pt>
                <c:pt idx="99">
                  <c:v>-4.6124340209427652E-3</c:v>
                </c:pt>
                <c:pt idx="100">
                  <c:v>-3.726406691147972E-3</c:v>
                </c:pt>
                <c:pt idx="101">
                  <c:v>6.3700049931155528E-3</c:v>
                </c:pt>
                <c:pt idx="102">
                  <c:v>-2.628050216502181E-3</c:v>
                </c:pt>
                <c:pt idx="103">
                  <c:v>-8.8939535014334224E-4</c:v>
                </c:pt>
                <c:pt idx="104">
                  <c:v>-9.2459460141595343E-3</c:v>
                </c:pt>
                <c:pt idx="105">
                  <c:v>-3.6609605930329439E-3</c:v>
                </c:pt>
                <c:pt idx="106">
                  <c:v>7.4497277187619889E-3</c:v>
                </c:pt>
                <c:pt idx="107">
                  <c:v>-1.6767698372759619E-2</c:v>
                </c:pt>
                <c:pt idx="108">
                  <c:v>-2.637974911084277E-2</c:v>
                </c:pt>
                <c:pt idx="109">
                  <c:v>-2.6816095034669541E-3</c:v>
                </c:pt>
                <c:pt idx="110">
                  <c:v>-2.5393443337434415E-3</c:v>
                </c:pt>
                <c:pt idx="111">
                  <c:v>-2.1128447901579792E-2</c:v>
                </c:pt>
                <c:pt idx="112">
                  <c:v>-4.3682936023334753E-3</c:v>
                </c:pt>
                <c:pt idx="113">
                  <c:v>3.7042136201653787E-3</c:v>
                </c:pt>
                <c:pt idx="114">
                  <c:v>1.8804337849956207E-2</c:v>
                </c:pt>
                <c:pt idx="115">
                  <c:v>-1.441926508502933E-2</c:v>
                </c:pt>
                <c:pt idx="116">
                  <c:v>9.3004475234755649E-3</c:v>
                </c:pt>
                <c:pt idx="117">
                  <c:v>9.1664725642030907E-3</c:v>
                </c:pt>
                <c:pt idx="118">
                  <c:v>8.4589903976304958E-3</c:v>
                </c:pt>
                <c:pt idx="119">
                  <c:v>1.1464333566122758E-3</c:v>
                </c:pt>
                <c:pt idx="120">
                  <c:v>-3.2239710143294287E-3</c:v>
                </c:pt>
                <c:pt idx="121">
                  <c:v>-1.1930812176956622E-3</c:v>
                </c:pt>
                <c:pt idx="122">
                  <c:v>-1.7870562887152891E-3</c:v>
                </c:pt>
                <c:pt idx="123">
                  <c:v>5.2881882060555243E-3</c:v>
                </c:pt>
                <c:pt idx="124">
                  <c:v>-1.5471713984814997E-3</c:v>
                </c:pt>
                <c:pt idx="125">
                  <c:v>1.131818975105146E-2</c:v>
                </c:pt>
                <c:pt idx="126">
                  <c:v>8.9494920352443177E-3</c:v>
                </c:pt>
                <c:pt idx="127">
                  <c:v>5.4360478199522019E-3</c:v>
                </c:pt>
                <c:pt idx="128">
                  <c:v>-2.8356590452110596E-4</c:v>
                </c:pt>
                <c:pt idx="129">
                  <c:v>-9.7249750246669615E-3</c:v>
                </c:pt>
                <c:pt idx="130">
                  <c:v>-5.7072924975198726E-3</c:v>
                </c:pt>
                <c:pt idx="131">
                  <c:v>-1.7536552322698128E-3</c:v>
                </c:pt>
                <c:pt idx="132">
                  <c:v>6.9359576430902733E-3</c:v>
                </c:pt>
                <c:pt idx="133">
                  <c:v>1.4287304178026086E-2</c:v>
                </c:pt>
                <c:pt idx="134">
                  <c:v>3.8117642903216244E-3</c:v>
                </c:pt>
                <c:pt idx="135">
                  <c:v>1.1033888464684999E-2</c:v>
                </c:pt>
                <c:pt idx="136">
                  <c:v>5.1087197691104657E-3</c:v>
                </c:pt>
                <c:pt idx="137">
                  <c:v>6.8772959756702411E-3</c:v>
                </c:pt>
                <c:pt idx="138">
                  <c:v>-5.2901993266311958E-3</c:v>
                </c:pt>
                <c:pt idx="139">
                  <c:v>-8.8479580903132234E-3</c:v>
                </c:pt>
                <c:pt idx="140">
                  <c:v>9.5821774492386384E-3</c:v>
                </c:pt>
                <c:pt idx="141">
                  <c:v>1.7293731116441433E-2</c:v>
                </c:pt>
                <c:pt idx="142">
                  <c:v>1.3505953848928927E-2</c:v>
                </c:pt>
                <c:pt idx="143">
                  <c:v>1.0595531653869231E-2</c:v>
                </c:pt>
                <c:pt idx="144">
                  <c:v>3.1132769264503868E-4</c:v>
                </c:pt>
                <c:pt idx="145">
                  <c:v>2.4618083660368161E-3</c:v>
                </c:pt>
                <c:pt idx="146">
                  <c:v>-3.5371162899434217E-4</c:v>
                </c:pt>
                <c:pt idx="147">
                  <c:v>8.9172707398458174E-4</c:v>
                </c:pt>
                <c:pt idx="148">
                  <c:v>7.334364650093449E-3</c:v>
                </c:pt>
                <c:pt idx="149">
                  <c:v>5.5066112120944909E-4</c:v>
                </c:pt>
                <c:pt idx="150">
                  <c:v>7.0859293688247619E-3</c:v>
                </c:pt>
                <c:pt idx="151">
                  <c:v>2.2170219717990384E-3</c:v>
                </c:pt>
                <c:pt idx="152">
                  <c:v>7.1815193221905528E-3</c:v>
                </c:pt>
                <c:pt idx="153">
                  <c:v>6.675923198833116E-3</c:v>
                </c:pt>
                <c:pt idx="154">
                  <c:v>6.8266993605193866E-4</c:v>
                </c:pt>
                <c:pt idx="155">
                  <c:v>-1.1029475733021566E-2</c:v>
                </c:pt>
                <c:pt idx="156">
                  <c:v>-1.5077330047126568E-2</c:v>
                </c:pt>
                <c:pt idx="157">
                  <c:v>4.9626821611402925E-3</c:v>
                </c:pt>
                <c:pt idx="158">
                  <c:v>1.5616110937276783E-3</c:v>
                </c:pt>
                <c:pt idx="159">
                  <c:v>-4.6861822192001863E-3</c:v>
                </c:pt>
                <c:pt idx="160">
                  <c:v>2.0802555364506977E-3</c:v>
                </c:pt>
                <c:pt idx="161">
                  <c:v>-1.4009988924254615E-2</c:v>
                </c:pt>
                <c:pt idx="162">
                  <c:v>2.5784263752367045E-2</c:v>
                </c:pt>
                <c:pt idx="163">
                  <c:v>-1.2190795272279249E-2</c:v>
                </c:pt>
                <c:pt idx="164">
                  <c:v>-1.9105056494932263E-4</c:v>
                </c:pt>
                <c:pt idx="165">
                  <c:v>7.2038500424021481E-3</c:v>
                </c:pt>
                <c:pt idx="166">
                  <c:v>-5.774531325504678E-4</c:v>
                </c:pt>
                <c:pt idx="167">
                  <c:v>-1.767100449202397E-3</c:v>
                </c:pt>
                <c:pt idx="168">
                  <c:v>9.8925129441018271E-3</c:v>
                </c:pt>
                <c:pt idx="169">
                  <c:v>1.9439347707002337E-3</c:v>
                </c:pt>
                <c:pt idx="170">
                  <c:v>5.7756956633665014E-3</c:v>
                </c:pt>
                <c:pt idx="171">
                  <c:v>7.4542019371050356E-3</c:v>
                </c:pt>
                <c:pt idx="172">
                  <c:v>-3.6690976579719734E-3</c:v>
                </c:pt>
                <c:pt idx="173">
                  <c:v>-7.0179606470874558E-3</c:v>
                </c:pt>
                <c:pt idx="174">
                  <c:v>-1.9384853190090329E-2</c:v>
                </c:pt>
                <c:pt idx="175">
                  <c:v>5.2136886139891366E-3</c:v>
                </c:pt>
                <c:pt idx="176">
                  <c:v>1.1008809885230319E-2</c:v>
                </c:pt>
                <c:pt idx="177">
                  <c:v>-5.495005458499921E-3</c:v>
                </c:pt>
                <c:pt idx="178">
                  <c:v>-4.9975776499534049E-3</c:v>
                </c:pt>
                <c:pt idx="179">
                  <c:v>-1.715567723975411E-2</c:v>
                </c:pt>
                <c:pt idx="180">
                  <c:v>-1.7951321755430915E-2</c:v>
                </c:pt>
                <c:pt idx="181">
                  <c:v>-5.230508154827917E-4</c:v>
                </c:pt>
                <c:pt idx="182">
                  <c:v>-8.7491785093000481E-3</c:v>
                </c:pt>
                <c:pt idx="183">
                  <c:v>-2.4023347691571597E-3</c:v>
                </c:pt>
                <c:pt idx="184">
                  <c:v>1.6425755966635387E-2</c:v>
                </c:pt>
                <c:pt idx="185">
                  <c:v>-1.2109264449056115E-2</c:v>
                </c:pt>
                <c:pt idx="186">
                  <c:v>2.2913670940629897E-2</c:v>
                </c:pt>
                <c:pt idx="187">
                  <c:v>3.3286441361055977E-3</c:v>
                </c:pt>
                <c:pt idx="188">
                  <c:v>-9.8953306795469538E-4</c:v>
                </c:pt>
                <c:pt idx="189">
                  <c:v>-4.2536458627130021E-3</c:v>
                </c:pt>
                <c:pt idx="190">
                  <c:v>-1.4932383214430616E-2</c:v>
                </c:pt>
                <c:pt idx="191">
                  <c:v>8.2461453323810115E-3</c:v>
                </c:pt>
                <c:pt idx="192">
                  <c:v>-6.3800837729573656E-3</c:v>
                </c:pt>
                <c:pt idx="193">
                  <c:v>1.0070888040842859E-2</c:v>
                </c:pt>
                <c:pt idx="194">
                  <c:v>7.3375869316151731E-3</c:v>
                </c:pt>
                <c:pt idx="195">
                  <c:v>1.0117285903164097E-2</c:v>
                </c:pt>
                <c:pt idx="196">
                  <c:v>1.4468379065521514E-3</c:v>
                </c:pt>
                <c:pt idx="197">
                  <c:v>2.9521745635197228E-3</c:v>
                </c:pt>
                <c:pt idx="198">
                  <c:v>7.0323375716903282E-4</c:v>
                </c:pt>
                <c:pt idx="199">
                  <c:v>8.7873563911103538E-3</c:v>
                </c:pt>
                <c:pt idx="200">
                  <c:v>-4.1961220478546717E-3</c:v>
                </c:pt>
                <c:pt idx="201">
                  <c:v>4.5649079104614753E-3</c:v>
                </c:pt>
                <c:pt idx="202">
                  <c:v>2.8106052165161512E-3</c:v>
                </c:pt>
                <c:pt idx="203">
                  <c:v>1.2672230423852775E-2</c:v>
                </c:pt>
                <c:pt idx="204">
                  <c:v>7.395053229230052E-3</c:v>
                </c:pt>
                <c:pt idx="205">
                  <c:v>-3.4471976728065595E-3</c:v>
                </c:pt>
                <c:pt idx="206">
                  <c:v>-1.6673472739051256E-3</c:v>
                </c:pt>
                <c:pt idx="207">
                  <c:v>3.5701681625630679E-3</c:v>
                </c:pt>
                <c:pt idx="208">
                  <c:v>4.7275861905165173E-3</c:v>
                </c:pt>
                <c:pt idx="209">
                  <c:v>-2.5161392222568506E-3</c:v>
                </c:pt>
                <c:pt idx="210">
                  <c:v>-7.0937258908410931E-3</c:v>
                </c:pt>
                <c:pt idx="211">
                  <c:v>1.7833173246786054E-2</c:v>
                </c:pt>
                <c:pt idx="212">
                  <c:v>-1.1198454947273461E-3</c:v>
                </c:pt>
                <c:pt idx="213">
                  <c:v>4.0509242608679956E-3</c:v>
                </c:pt>
                <c:pt idx="214">
                  <c:v>3.3961115159220794E-4</c:v>
                </c:pt>
                <c:pt idx="215">
                  <c:v>-3.5714963947465006E-3</c:v>
                </c:pt>
                <c:pt idx="216">
                  <c:v>-1.9761337135141229E-3</c:v>
                </c:pt>
                <c:pt idx="217">
                  <c:v>-8.0677295472394717E-3</c:v>
                </c:pt>
                <c:pt idx="218">
                  <c:v>4.6393301536246994E-3</c:v>
                </c:pt>
                <c:pt idx="219">
                  <c:v>1.2634580845837307E-3</c:v>
                </c:pt>
                <c:pt idx="220">
                  <c:v>1.1870949869301662E-2</c:v>
                </c:pt>
                <c:pt idx="221">
                  <c:v>1.5500019804074849E-3</c:v>
                </c:pt>
                <c:pt idx="222">
                  <c:v>2.7008413120687092E-3</c:v>
                </c:pt>
                <c:pt idx="223">
                  <c:v>2.979126530282514E-3</c:v>
                </c:pt>
                <c:pt idx="224">
                  <c:v>7.5356346188063944E-3</c:v>
                </c:pt>
                <c:pt idx="225">
                  <c:v>2.886735354053674E-3</c:v>
                </c:pt>
                <c:pt idx="226">
                  <c:v>-6.1873961993355068E-3</c:v>
                </c:pt>
                <c:pt idx="227">
                  <c:v>2.6482379231749159E-4</c:v>
                </c:pt>
                <c:pt idx="228">
                  <c:v>-3.1175136457698136E-3</c:v>
                </c:pt>
                <c:pt idx="229">
                  <c:v>-4.4119027503989484E-3</c:v>
                </c:pt>
                <c:pt idx="230">
                  <c:v>2.6319123407236218E-3</c:v>
                </c:pt>
                <c:pt idx="231">
                  <c:v>-6.0587824061014445E-3</c:v>
                </c:pt>
                <c:pt idx="232">
                  <c:v>2.9777473245970985E-5</c:v>
                </c:pt>
                <c:pt idx="233">
                  <c:v>5.9927938442851138E-3</c:v>
                </c:pt>
                <c:pt idx="234">
                  <c:v>2.8106610597593367E-3</c:v>
                </c:pt>
                <c:pt idx="235">
                  <c:v>-1.3150934322016408E-2</c:v>
                </c:pt>
                <c:pt idx="236">
                  <c:v>-7.9229530381443609E-3</c:v>
                </c:pt>
                <c:pt idx="237">
                  <c:v>8.2899567026108855E-3</c:v>
                </c:pt>
                <c:pt idx="238">
                  <c:v>-1.9081205665572067E-3</c:v>
                </c:pt>
                <c:pt idx="239">
                  <c:v>-1.0127719650495335E-2</c:v>
                </c:pt>
                <c:pt idx="240">
                  <c:v>-3.9425027359330164E-3</c:v>
                </c:pt>
                <c:pt idx="241">
                  <c:v>-1.7683160247588019E-2</c:v>
                </c:pt>
                <c:pt idx="242">
                  <c:v>1.1669632886650927E-2</c:v>
                </c:pt>
                <c:pt idx="243">
                  <c:v>6.5336546220654303E-3</c:v>
                </c:pt>
                <c:pt idx="244">
                  <c:v>-5.4051502445136572E-4</c:v>
                </c:pt>
                <c:pt idx="245">
                  <c:v>3.7798317009242652E-3</c:v>
                </c:pt>
                <c:pt idx="246">
                  <c:v>-4.711077950634834E-3</c:v>
                </c:pt>
                <c:pt idx="247">
                  <c:v>5.0895833830442968E-3</c:v>
                </c:pt>
                <c:pt idx="248">
                  <c:v>1.9289275973554496E-3</c:v>
                </c:pt>
                <c:pt idx="249">
                  <c:v>-1.0399069459748099E-2</c:v>
                </c:pt>
                <c:pt idx="250">
                  <c:v>-2.8154392823156486E-3</c:v>
                </c:pt>
                <c:pt idx="251">
                  <c:v>-7.3755037122400051E-3</c:v>
                </c:pt>
                <c:pt idx="252">
                  <c:v>1.3536251708300794E-2</c:v>
                </c:pt>
                <c:pt idx="253">
                  <c:v>-1.0333504743910142E-2</c:v>
                </c:pt>
                <c:pt idx="254">
                  <c:v>-1.0299775092471452E-3</c:v>
                </c:pt>
                <c:pt idx="255">
                  <c:v>-2.0954755408598936E-3</c:v>
                </c:pt>
                <c:pt idx="256">
                  <c:v>5.5100958833134029E-3</c:v>
                </c:pt>
                <c:pt idx="257">
                  <c:v>-3.438847072641213E-3</c:v>
                </c:pt>
                <c:pt idx="258">
                  <c:v>8.8545685189949756E-3</c:v>
                </c:pt>
                <c:pt idx="259">
                  <c:v>6.2065563167220707E-3</c:v>
                </c:pt>
                <c:pt idx="260">
                  <c:v>-3.1653670993214296E-3</c:v>
                </c:pt>
                <c:pt idx="261">
                  <c:v>-4.4289752638624075E-3</c:v>
                </c:pt>
                <c:pt idx="262">
                  <c:v>5.0422760608549964E-3</c:v>
                </c:pt>
                <c:pt idx="263">
                  <c:v>-1.3798013043193401E-5</c:v>
                </c:pt>
                <c:pt idx="264">
                  <c:v>-1.2492979597588426E-2</c:v>
                </c:pt>
                <c:pt idx="265">
                  <c:v>-1.6074246940885949E-2</c:v>
                </c:pt>
                <c:pt idx="266">
                  <c:v>2.5334426429020982E-3</c:v>
                </c:pt>
                <c:pt idx="267">
                  <c:v>7.479862872396513E-4</c:v>
                </c:pt>
                <c:pt idx="268">
                  <c:v>-2.5959245609957441E-3</c:v>
                </c:pt>
                <c:pt idx="269">
                  <c:v>-3.3493921756640085E-4</c:v>
                </c:pt>
                <c:pt idx="270">
                  <c:v>1.3835596272105368E-2</c:v>
                </c:pt>
                <c:pt idx="271">
                  <c:v>-5.0101331679415564E-3</c:v>
                </c:pt>
                <c:pt idx="272">
                  <c:v>-2.4261514443683504E-3</c:v>
                </c:pt>
                <c:pt idx="273">
                  <c:v>8.4755364387889432E-3</c:v>
                </c:pt>
                <c:pt idx="274">
                  <c:v>1.2170079483475669E-3</c:v>
                </c:pt>
                <c:pt idx="275">
                  <c:v>-2.0649578819473256E-3</c:v>
                </c:pt>
                <c:pt idx="276">
                  <c:v>-4.7937506790244888E-3</c:v>
                </c:pt>
                <c:pt idx="277">
                  <c:v>8.9443536626034291E-3</c:v>
                </c:pt>
                <c:pt idx="278">
                  <c:v>4.7964707945364893E-3</c:v>
                </c:pt>
                <c:pt idx="279">
                  <c:v>1.1101336009159844E-3</c:v>
                </c:pt>
                <c:pt idx="280">
                  <c:v>-5.0815676548039302E-3</c:v>
                </c:pt>
                <c:pt idx="281">
                  <c:v>-5.5505185148935288E-3</c:v>
                </c:pt>
                <c:pt idx="282">
                  <c:v>-1.0031264579886891E-3</c:v>
                </c:pt>
                <c:pt idx="283">
                  <c:v>-1.5280363159415942E-2</c:v>
                </c:pt>
                <c:pt idx="284">
                  <c:v>-2.4524349637781071E-3</c:v>
                </c:pt>
                <c:pt idx="285">
                  <c:v>-2.5954297380254561E-3</c:v>
                </c:pt>
                <c:pt idx="286">
                  <c:v>-4.1854114172380965E-3</c:v>
                </c:pt>
                <c:pt idx="287">
                  <c:v>-5.1027157362123765E-3</c:v>
                </c:pt>
                <c:pt idx="288">
                  <c:v>8.4923487777371857E-3</c:v>
                </c:pt>
                <c:pt idx="289">
                  <c:v>-7.3921687196455222E-3</c:v>
                </c:pt>
                <c:pt idx="290">
                  <c:v>1.5728598586189711E-2</c:v>
                </c:pt>
                <c:pt idx="291">
                  <c:v>6.6555236540313924E-3</c:v>
                </c:pt>
                <c:pt idx="292">
                  <c:v>2.4250512461693411E-3</c:v>
                </c:pt>
                <c:pt idx="293">
                  <c:v>-9.282249942022187E-3</c:v>
                </c:pt>
                <c:pt idx="294">
                  <c:v>-1.0045664593160527E-2</c:v>
                </c:pt>
                <c:pt idx="295">
                  <c:v>-1.485103596719917E-2</c:v>
                </c:pt>
                <c:pt idx="296">
                  <c:v>-6.4706805259555035E-3</c:v>
                </c:pt>
                <c:pt idx="297">
                  <c:v>-4.1746837020749817E-3</c:v>
                </c:pt>
                <c:pt idx="298">
                  <c:v>7.9242863692354643E-4</c:v>
                </c:pt>
                <c:pt idx="299">
                  <c:v>6.7381296294867204E-3</c:v>
                </c:pt>
                <c:pt idx="300">
                  <c:v>-6.5292431835382693E-3</c:v>
                </c:pt>
                <c:pt idx="301">
                  <c:v>7.0106429245155163E-3</c:v>
                </c:pt>
                <c:pt idx="302">
                  <c:v>2.5953757708606878E-3</c:v>
                </c:pt>
                <c:pt idx="303">
                  <c:v>-4.3726933045480044E-3</c:v>
                </c:pt>
                <c:pt idx="304">
                  <c:v>-7.7209333650201471E-3</c:v>
                </c:pt>
                <c:pt idx="305">
                  <c:v>2.3988383702912507E-3</c:v>
                </c:pt>
                <c:pt idx="306">
                  <c:v>-2.0016838613254148E-3</c:v>
                </c:pt>
                <c:pt idx="307">
                  <c:v>7.6098565892092247E-3</c:v>
                </c:pt>
                <c:pt idx="308">
                  <c:v>1.6337198929748439E-2</c:v>
                </c:pt>
                <c:pt idx="309">
                  <c:v>2.2062979593601138E-3</c:v>
                </c:pt>
                <c:pt idx="310">
                  <c:v>9.1389548174925506E-3</c:v>
                </c:pt>
                <c:pt idx="311">
                  <c:v>2.397874821069442E-3</c:v>
                </c:pt>
                <c:pt idx="312">
                  <c:v>1.4148631863920139E-3</c:v>
                </c:pt>
                <c:pt idx="313">
                  <c:v>5.5747683220432271E-3</c:v>
                </c:pt>
                <c:pt idx="314">
                  <c:v>5.0839679967847554E-3</c:v>
                </c:pt>
                <c:pt idx="315">
                  <c:v>8.7577242020018457E-4</c:v>
                </c:pt>
                <c:pt idx="316">
                  <c:v>-6.7955121718644386E-3</c:v>
                </c:pt>
                <c:pt idx="317">
                  <c:v>-2.637353285943389E-3</c:v>
                </c:pt>
                <c:pt idx="318">
                  <c:v>-2.3442830374251948E-3</c:v>
                </c:pt>
                <c:pt idx="319">
                  <c:v>3.234746505852155E-4</c:v>
                </c:pt>
                <c:pt idx="320">
                  <c:v>-2.2607117819432117E-5</c:v>
                </c:pt>
                <c:pt idx="321">
                  <c:v>6.771973792124168E-3</c:v>
                </c:pt>
                <c:pt idx="322">
                  <c:v>1.4568576727329279E-3</c:v>
                </c:pt>
                <c:pt idx="323">
                  <c:v>2.4958627404083338E-3</c:v>
                </c:pt>
                <c:pt idx="324">
                  <c:v>5.6951528173308985E-3</c:v>
                </c:pt>
                <c:pt idx="325">
                  <c:v>8.3700136177692844E-3</c:v>
                </c:pt>
                <c:pt idx="326">
                  <c:v>4.575166952670867E-3</c:v>
                </c:pt>
                <c:pt idx="327">
                  <c:v>-3.1850284061381131E-3</c:v>
                </c:pt>
                <c:pt idx="328">
                  <c:v>9.1737176144039076E-3</c:v>
                </c:pt>
                <c:pt idx="329">
                  <c:v>-1.0232406851986326E-2</c:v>
                </c:pt>
                <c:pt idx="330">
                  <c:v>1.0814123139077935E-2</c:v>
                </c:pt>
                <c:pt idx="331">
                  <c:v>8.4800374873639524E-5</c:v>
                </c:pt>
                <c:pt idx="332">
                  <c:v>2.6908204665803477E-3</c:v>
                </c:pt>
                <c:pt idx="333">
                  <c:v>-9.8823426497263904E-4</c:v>
                </c:pt>
                <c:pt idx="334">
                  <c:v>9.728797617096647E-4</c:v>
                </c:pt>
                <c:pt idx="335">
                  <c:v>4.5891205154244613E-3</c:v>
                </c:pt>
                <c:pt idx="336">
                  <c:v>-6.106338786803482E-3</c:v>
                </c:pt>
                <c:pt idx="337">
                  <c:v>-5.7282694884204198E-3</c:v>
                </c:pt>
                <c:pt idx="338">
                  <c:v>-2.8490536389512416E-3</c:v>
                </c:pt>
                <c:pt idx="339">
                  <c:v>4.0513721860304429E-3</c:v>
                </c:pt>
                <c:pt idx="340">
                  <c:v>6.0977618255806682E-3</c:v>
                </c:pt>
                <c:pt idx="341">
                  <c:v>1.8346005483484019E-3</c:v>
                </c:pt>
                <c:pt idx="342">
                  <c:v>-3.4117946915195544E-3</c:v>
                </c:pt>
                <c:pt idx="343">
                  <c:v>1.955111686676328E-3</c:v>
                </c:pt>
                <c:pt idx="344">
                  <c:v>9.7264207867394266E-3</c:v>
                </c:pt>
                <c:pt idx="345">
                  <c:v>5.3677985496143193E-3</c:v>
                </c:pt>
                <c:pt idx="346">
                  <c:v>1.8925683993196991E-3</c:v>
                </c:pt>
                <c:pt idx="347">
                  <c:v>-5.3370194611836079E-3</c:v>
                </c:pt>
                <c:pt idx="348">
                  <c:v>-2.5169625138049723E-3</c:v>
                </c:pt>
                <c:pt idx="349">
                  <c:v>2.5070443401712366E-3</c:v>
                </c:pt>
                <c:pt idx="350">
                  <c:v>3.2237875732029578E-3</c:v>
                </c:pt>
                <c:pt idx="351">
                  <c:v>2.7699433459471828E-4</c:v>
                </c:pt>
                <c:pt idx="352">
                  <c:v>6.8498516586912852E-3</c:v>
                </c:pt>
                <c:pt idx="353">
                  <c:v>-4.9048192969397822E-3</c:v>
                </c:pt>
                <c:pt idx="354">
                  <c:v>-3.8181972206460836E-3</c:v>
                </c:pt>
                <c:pt idx="355">
                  <c:v>2.0524046347926875E-3</c:v>
                </c:pt>
                <c:pt idx="356">
                  <c:v>6.1635024594790325E-3</c:v>
                </c:pt>
                <c:pt idx="357">
                  <c:v>2.1238341843584732E-3</c:v>
                </c:pt>
                <c:pt idx="358">
                  <c:v>-3.6149041414472735E-3</c:v>
                </c:pt>
                <c:pt idx="359">
                  <c:v>7.3790483722372593E-3</c:v>
                </c:pt>
                <c:pt idx="360">
                  <c:v>-3.7475183788378695E-3</c:v>
                </c:pt>
                <c:pt idx="361">
                  <c:v>3.2657175674550825E-3</c:v>
                </c:pt>
                <c:pt idx="362">
                  <c:v>2.1337637134286021E-3</c:v>
                </c:pt>
                <c:pt idx="363">
                  <c:v>-4.5394437976079413E-3</c:v>
                </c:pt>
                <c:pt idx="364">
                  <c:v>-5.6336152360657917E-3</c:v>
                </c:pt>
                <c:pt idx="365">
                  <c:v>1.3768299268703365E-3</c:v>
                </c:pt>
                <c:pt idx="366">
                  <c:v>6.7519034237094218E-3</c:v>
                </c:pt>
                <c:pt idx="367">
                  <c:v>8.2210727723044698E-3</c:v>
                </c:pt>
                <c:pt idx="368">
                  <c:v>1.143527477038353E-2</c:v>
                </c:pt>
                <c:pt idx="369">
                  <c:v>6.9570924337844136E-3</c:v>
                </c:pt>
                <c:pt idx="370">
                  <c:v>3.4389465321182254E-3</c:v>
                </c:pt>
                <c:pt idx="371">
                  <c:v>4.8996853886224153E-4</c:v>
                </c:pt>
                <c:pt idx="372">
                  <c:v>5.093217568368778E-3</c:v>
                </c:pt>
                <c:pt idx="373">
                  <c:v>-8.4883544578272449E-3</c:v>
                </c:pt>
                <c:pt idx="374">
                  <c:v>1.246630372049119E-3</c:v>
                </c:pt>
                <c:pt idx="375">
                  <c:v>4.3139300323546499E-3</c:v>
                </c:pt>
                <c:pt idx="376">
                  <c:v>-2.8344295035718976E-3</c:v>
                </c:pt>
                <c:pt idx="377">
                  <c:v>1.5192303984915279E-3</c:v>
                </c:pt>
                <c:pt idx="378">
                  <c:v>7.7651149314274673E-3</c:v>
                </c:pt>
                <c:pt idx="379">
                  <c:v>7.5110132638195846E-3</c:v>
                </c:pt>
                <c:pt idx="380">
                  <c:v>1.9177068403253327E-3</c:v>
                </c:pt>
                <c:pt idx="381">
                  <c:v>4.2482823904704849E-3</c:v>
                </c:pt>
                <c:pt idx="382">
                  <c:v>7.361412439359746E-3</c:v>
                </c:pt>
                <c:pt idx="383">
                  <c:v>-1.1719737146854696E-2</c:v>
                </c:pt>
                <c:pt idx="384">
                  <c:v>-3.6794323119776762E-3</c:v>
                </c:pt>
                <c:pt idx="385">
                  <c:v>4.1937034284027095E-4</c:v>
                </c:pt>
                <c:pt idx="386">
                  <c:v>4.9643391939807515E-3</c:v>
                </c:pt>
                <c:pt idx="387">
                  <c:v>-5.9863782693477738E-3</c:v>
                </c:pt>
                <c:pt idx="388">
                  <c:v>-7.0445982556135544E-4</c:v>
                </c:pt>
                <c:pt idx="389">
                  <c:v>5.4845628366290639E-3</c:v>
                </c:pt>
                <c:pt idx="390">
                  <c:v>-1.0251191770384391E-3</c:v>
                </c:pt>
                <c:pt idx="391">
                  <c:v>-1.0489749275092712E-2</c:v>
                </c:pt>
                <c:pt idx="392">
                  <c:v>-7.4206853849987436E-3</c:v>
                </c:pt>
                <c:pt idx="393">
                  <c:v>6.983389250631169E-3</c:v>
                </c:pt>
                <c:pt idx="394">
                  <c:v>4.1144018547933457E-3</c:v>
                </c:pt>
                <c:pt idx="395">
                  <c:v>-1.3497354710014923E-3</c:v>
                </c:pt>
                <c:pt idx="396">
                  <c:v>3.1527078912111498E-3</c:v>
                </c:pt>
                <c:pt idx="397">
                  <c:v>-4.5562684644407008E-3</c:v>
                </c:pt>
                <c:pt idx="398">
                  <c:v>-5.8741361553073098E-3</c:v>
                </c:pt>
                <c:pt idx="399">
                  <c:v>3.2169565781646828E-4</c:v>
                </c:pt>
                <c:pt idx="400">
                  <c:v>1.5667570268599492E-3</c:v>
                </c:pt>
                <c:pt idx="401">
                  <c:v>-5.124582584125353E-3</c:v>
                </c:pt>
                <c:pt idx="402">
                  <c:v>-2.8452826067311698E-3</c:v>
                </c:pt>
                <c:pt idx="403">
                  <c:v>4.3215208742701074E-3</c:v>
                </c:pt>
                <c:pt idx="404">
                  <c:v>1.4693558996005377E-4</c:v>
                </c:pt>
                <c:pt idx="405">
                  <c:v>2.4515198871256734E-3</c:v>
                </c:pt>
                <c:pt idx="406">
                  <c:v>-2.9469646677639239E-3</c:v>
                </c:pt>
                <c:pt idx="407">
                  <c:v>-6.2361537997922632E-3</c:v>
                </c:pt>
                <c:pt idx="408">
                  <c:v>2.0891942389280123E-3</c:v>
                </c:pt>
                <c:pt idx="409">
                  <c:v>1.8957585067587667E-3</c:v>
                </c:pt>
                <c:pt idx="410">
                  <c:v>2.4809567990909402E-4</c:v>
                </c:pt>
                <c:pt idx="411">
                  <c:v>-4.8403506291687217E-3</c:v>
                </c:pt>
                <c:pt idx="412">
                  <c:v>9.4267101890400506E-3</c:v>
                </c:pt>
                <c:pt idx="413">
                  <c:v>4.8108337017045725E-3</c:v>
                </c:pt>
                <c:pt idx="414">
                  <c:v>2.3605960507748539E-3</c:v>
                </c:pt>
                <c:pt idx="415">
                  <c:v>1.8467726158455178E-3</c:v>
                </c:pt>
                <c:pt idx="416">
                  <c:v>5.9150323608557279E-3</c:v>
                </c:pt>
                <c:pt idx="417">
                  <c:v>4.7091903919804952E-3</c:v>
                </c:pt>
                <c:pt idx="418">
                  <c:v>8.9001433884048405E-3</c:v>
                </c:pt>
                <c:pt idx="419">
                  <c:v>-1.5754825563684796E-4</c:v>
                </c:pt>
                <c:pt idx="420">
                  <c:v>3.8413452573921327E-3</c:v>
                </c:pt>
                <c:pt idx="421">
                  <c:v>1.649208221225749E-3</c:v>
                </c:pt>
                <c:pt idx="422">
                  <c:v>4.4396138772571907E-3</c:v>
                </c:pt>
                <c:pt idx="423">
                  <c:v>-2.924316839962012E-3</c:v>
                </c:pt>
                <c:pt idx="424">
                  <c:v>-1.1518249914532109E-2</c:v>
                </c:pt>
                <c:pt idx="425">
                  <c:v>-7.9919392040333961E-3</c:v>
                </c:pt>
                <c:pt idx="426">
                  <c:v>-3.4494176401858481E-3</c:v>
                </c:pt>
                <c:pt idx="427">
                  <c:v>1.528805418258558E-5</c:v>
                </c:pt>
                <c:pt idx="428">
                  <c:v>-5.0072614666848026E-4</c:v>
                </c:pt>
                <c:pt idx="429">
                  <c:v>2.631619198629758E-3</c:v>
                </c:pt>
                <c:pt idx="430">
                  <c:v>-9.783629692009025E-3</c:v>
                </c:pt>
                <c:pt idx="431">
                  <c:v>5.8775169172440092E-3</c:v>
                </c:pt>
                <c:pt idx="432">
                  <c:v>-5.5784246418097332E-3</c:v>
                </c:pt>
                <c:pt idx="433">
                  <c:v>-4.7443072905331484E-3</c:v>
                </c:pt>
                <c:pt idx="434">
                  <c:v>5.6415841246885232E-3</c:v>
                </c:pt>
                <c:pt idx="435">
                  <c:v>5.512707366051443E-3</c:v>
                </c:pt>
                <c:pt idx="436">
                  <c:v>-7.1819467779275555E-3</c:v>
                </c:pt>
                <c:pt idx="437">
                  <c:v>9.0968029764149343E-3</c:v>
                </c:pt>
                <c:pt idx="438">
                  <c:v>6.1706921288247809E-3</c:v>
                </c:pt>
                <c:pt idx="439">
                  <c:v>-8.7574089309489108E-4</c:v>
                </c:pt>
                <c:pt idx="440">
                  <c:v>-2.1698099929270622E-3</c:v>
                </c:pt>
                <c:pt idx="441">
                  <c:v>-9.7720274298360795E-4</c:v>
                </c:pt>
                <c:pt idx="442">
                  <c:v>4.0417094276990126E-3</c:v>
                </c:pt>
                <c:pt idx="443">
                  <c:v>-7.0868127602654631E-3</c:v>
                </c:pt>
                <c:pt idx="444">
                  <c:v>-2.3588101795170222E-3</c:v>
                </c:pt>
                <c:pt idx="445">
                  <c:v>-4.1808960781708204E-3</c:v>
                </c:pt>
                <c:pt idx="446">
                  <c:v>-1.3350307444488287E-2</c:v>
                </c:pt>
                <c:pt idx="447">
                  <c:v>-8.277236713472625E-3</c:v>
                </c:pt>
                <c:pt idx="448">
                  <c:v>-1.3853064931686596E-2</c:v>
                </c:pt>
                <c:pt idx="449">
                  <c:v>1.007570032746026E-2</c:v>
                </c:pt>
                <c:pt idx="450">
                  <c:v>4.9167407893527526E-3</c:v>
                </c:pt>
                <c:pt idx="451">
                  <c:v>-3.2026070220198158E-3</c:v>
                </c:pt>
                <c:pt idx="452">
                  <c:v>-4.7406245337211347E-3</c:v>
                </c:pt>
                <c:pt idx="453">
                  <c:v>7.5885232373691398E-3</c:v>
                </c:pt>
                <c:pt idx="454">
                  <c:v>5.0879808187318295E-3</c:v>
                </c:pt>
                <c:pt idx="455">
                  <c:v>9.4199034186755199E-3</c:v>
                </c:pt>
                <c:pt idx="456">
                  <c:v>-2.6019194560004814E-4</c:v>
                </c:pt>
                <c:pt idx="457">
                  <c:v>1.8962926453753753E-3</c:v>
                </c:pt>
                <c:pt idx="458">
                  <c:v>-2.4789373826727833E-3</c:v>
                </c:pt>
                <c:pt idx="459">
                  <c:v>1.5492839394084283E-3</c:v>
                </c:pt>
                <c:pt idx="460">
                  <c:v>9.3698040788764631E-4</c:v>
                </c:pt>
                <c:pt idx="461">
                  <c:v>1.1926753534472975E-2</c:v>
                </c:pt>
                <c:pt idx="462">
                  <c:v>4.5615222809414222E-3</c:v>
                </c:pt>
                <c:pt idx="463">
                  <c:v>-1.6897597453958925E-3</c:v>
                </c:pt>
                <c:pt idx="464">
                  <c:v>-1.9157288997363373E-3</c:v>
                </c:pt>
                <c:pt idx="465">
                  <c:v>4.53947349446528E-3</c:v>
                </c:pt>
                <c:pt idx="466">
                  <c:v>1.4380347886475513E-3</c:v>
                </c:pt>
                <c:pt idx="467">
                  <c:v>-4.9715746860537263E-4</c:v>
                </c:pt>
                <c:pt idx="468">
                  <c:v>-3.686890718110158E-4</c:v>
                </c:pt>
                <c:pt idx="469">
                  <c:v>4.7992646389298996E-3</c:v>
                </c:pt>
                <c:pt idx="470">
                  <c:v>1.0402389082000654E-2</c:v>
                </c:pt>
                <c:pt idx="471">
                  <c:v>1.8187545510748814E-3</c:v>
                </c:pt>
                <c:pt idx="472">
                  <c:v>6.6929416103818744E-3</c:v>
                </c:pt>
                <c:pt idx="473">
                  <c:v>2.0668168972550114E-2</c:v>
                </c:pt>
                <c:pt idx="474">
                  <c:v>8.1355657543033325E-3</c:v>
                </c:pt>
                <c:pt idx="475">
                  <c:v>3.9606432742403056E-3</c:v>
                </c:pt>
                <c:pt idx="476">
                  <c:v>-1.7455990564060003E-3</c:v>
                </c:pt>
                <c:pt idx="477">
                  <c:v>3.2653705046487938E-3</c:v>
                </c:pt>
                <c:pt idx="478">
                  <c:v>1.3209351475729359E-3</c:v>
                </c:pt>
                <c:pt idx="479">
                  <c:v>-4.3196069785336015E-3</c:v>
                </c:pt>
                <c:pt idx="480">
                  <c:v>9.5421582036616444E-4</c:v>
                </c:pt>
                <c:pt idx="481">
                  <c:v>1.225008732004299E-2</c:v>
                </c:pt>
                <c:pt idx="482">
                  <c:v>1.2932779206640398E-2</c:v>
                </c:pt>
                <c:pt idx="483">
                  <c:v>-1.7710126840645693E-3</c:v>
                </c:pt>
                <c:pt idx="484">
                  <c:v>1.6083748215282947E-3</c:v>
                </c:pt>
                <c:pt idx="485">
                  <c:v>-1.4121466059520292E-2</c:v>
                </c:pt>
                <c:pt idx="486">
                  <c:v>4.9597940468849178E-3</c:v>
                </c:pt>
                <c:pt idx="487">
                  <c:v>4.4389265860675844E-3</c:v>
                </c:pt>
                <c:pt idx="488">
                  <c:v>4.3068758989017533E-3</c:v>
                </c:pt>
                <c:pt idx="489">
                  <c:v>9.9527499383912123E-3</c:v>
                </c:pt>
                <c:pt idx="490">
                  <c:v>5.7238813193409418E-3</c:v>
                </c:pt>
                <c:pt idx="491">
                  <c:v>-2.1717930682809091E-3</c:v>
                </c:pt>
                <c:pt idx="492">
                  <c:v>4.8317180720431377E-4</c:v>
                </c:pt>
                <c:pt idx="493">
                  <c:v>-3.500136079709882E-3</c:v>
                </c:pt>
                <c:pt idx="494">
                  <c:v>-6.851866381518028E-3</c:v>
                </c:pt>
                <c:pt idx="495">
                  <c:v>6.5644701864638463E-3</c:v>
                </c:pt>
                <c:pt idx="496">
                  <c:v>2.410182234418762E-3</c:v>
                </c:pt>
                <c:pt idx="497">
                  <c:v>-9.1107086742330205E-3</c:v>
                </c:pt>
                <c:pt idx="498">
                  <c:v>1.4804819876354197E-3</c:v>
                </c:pt>
                <c:pt idx="499">
                  <c:v>3.4277152702494634E-3</c:v>
                </c:pt>
                <c:pt idx="500">
                  <c:v>1.3183031833364073E-3</c:v>
                </c:pt>
                <c:pt idx="501">
                  <c:v>1.1426492614476431E-2</c:v>
                </c:pt>
                <c:pt idx="502">
                  <c:v>9.2670747177910108E-3</c:v>
                </c:pt>
                <c:pt idx="503">
                  <c:v>-2.9482334071382365E-3</c:v>
                </c:pt>
                <c:pt idx="504">
                  <c:v>-2.0894393489625782E-2</c:v>
                </c:pt>
                <c:pt idx="505">
                  <c:v>-5.0852715202656844E-3</c:v>
                </c:pt>
                <c:pt idx="506">
                  <c:v>7.4619572039277904E-3</c:v>
                </c:pt>
                <c:pt idx="507">
                  <c:v>-1.7740842971331949E-2</c:v>
                </c:pt>
                <c:pt idx="508">
                  <c:v>1.0129971094811811E-2</c:v>
                </c:pt>
                <c:pt idx="509">
                  <c:v>-4.7240537844771471E-3</c:v>
                </c:pt>
                <c:pt idx="510">
                  <c:v>1.8030591452561338E-2</c:v>
                </c:pt>
                <c:pt idx="511">
                  <c:v>-9.9136981026542014E-3</c:v>
                </c:pt>
                <c:pt idx="512">
                  <c:v>9.4600254482075374E-3</c:v>
                </c:pt>
                <c:pt idx="513">
                  <c:v>-1.3003033741392424E-3</c:v>
                </c:pt>
                <c:pt idx="514">
                  <c:v>7.2059881519662555E-3</c:v>
                </c:pt>
                <c:pt idx="515">
                  <c:v>-3.7568550579715958E-3</c:v>
                </c:pt>
                <c:pt idx="516">
                  <c:v>7.2434021071895172E-3</c:v>
                </c:pt>
                <c:pt idx="517">
                  <c:v>5.0143140277199318E-5</c:v>
                </c:pt>
                <c:pt idx="518">
                  <c:v>-9.6920170994734146E-3</c:v>
                </c:pt>
                <c:pt idx="519">
                  <c:v>2.9722318782995096E-3</c:v>
                </c:pt>
                <c:pt idx="520">
                  <c:v>-7.6414194422127057E-3</c:v>
                </c:pt>
                <c:pt idx="521">
                  <c:v>5.884480023141108E-3</c:v>
                </c:pt>
                <c:pt idx="522">
                  <c:v>4.4519922734642583E-3</c:v>
                </c:pt>
                <c:pt idx="523">
                  <c:v>3.23713620031982E-3</c:v>
                </c:pt>
                <c:pt idx="524">
                  <c:v>5.9308430336706078E-3</c:v>
                </c:pt>
                <c:pt idx="525">
                  <c:v>3.7000087968943186E-3</c:v>
                </c:pt>
                <c:pt idx="526">
                  <c:v>3.3766555843098359E-3</c:v>
                </c:pt>
                <c:pt idx="527">
                  <c:v>-6.3927000327835704E-3</c:v>
                </c:pt>
                <c:pt idx="528">
                  <c:v>7.3633218808954017E-3</c:v>
                </c:pt>
                <c:pt idx="529">
                  <c:v>-2.1379592018771796E-4</c:v>
                </c:pt>
                <c:pt idx="530">
                  <c:v>-4.0809285312997396E-3</c:v>
                </c:pt>
                <c:pt idx="531">
                  <c:v>3.4489943430348661E-3</c:v>
                </c:pt>
                <c:pt idx="532">
                  <c:v>-1.1135927776350463E-2</c:v>
                </c:pt>
                <c:pt idx="533">
                  <c:v>1.4418556401936556E-3</c:v>
                </c:pt>
                <c:pt idx="534">
                  <c:v>1.61921687116252E-2</c:v>
                </c:pt>
                <c:pt idx="535">
                  <c:v>2.9925402719490025E-3</c:v>
                </c:pt>
                <c:pt idx="536">
                  <c:v>-2.2002905014957257E-3</c:v>
                </c:pt>
                <c:pt idx="537">
                  <c:v>5.2669715420930662E-3</c:v>
                </c:pt>
                <c:pt idx="538">
                  <c:v>8.6766734622161119E-4</c:v>
                </c:pt>
                <c:pt idx="539">
                  <c:v>-7.1531787740650044E-3</c:v>
                </c:pt>
                <c:pt idx="540">
                  <c:v>1.3651886124665786E-4</c:v>
                </c:pt>
                <c:pt idx="541">
                  <c:v>-1.5132725270247114E-2</c:v>
                </c:pt>
                <c:pt idx="542">
                  <c:v>6.7712159584102259E-3</c:v>
                </c:pt>
                <c:pt idx="543">
                  <c:v>-5.567468661089519E-3</c:v>
                </c:pt>
                <c:pt idx="544">
                  <c:v>1.4688778307718269E-3</c:v>
                </c:pt>
                <c:pt idx="545">
                  <c:v>-1.0802196640166288E-2</c:v>
                </c:pt>
                <c:pt idx="546">
                  <c:v>9.9234286202201888E-4</c:v>
                </c:pt>
                <c:pt idx="547">
                  <c:v>7.9146857285620556E-3</c:v>
                </c:pt>
                <c:pt idx="548">
                  <c:v>3.8524884896065661E-3</c:v>
                </c:pt>
                <c:pt idx="549">
                  <c:v>-4.1658063289851102E-3</c:v>
                </c:pt>
                <c:pt idx="550">
                  <c:v>5.4057167887708434E-3</c:v>
                </c:pt>
                <c:pt idx="551">
                  <c:v>9.1870010783881764E-3</c:v>
                </c:pt>
                <c:pt idx="552">
                  <c:v>6.0509791611942513E-3</c:v>
                </c:pt>
                <c:pt idx="553">
                  <c:v>-3.8728603864296435E-4</c:v>
                </c:pt>
                <c:pt idx="554">
                  <c:v>-8.3063021254249126E-4</c:v>
                </c:pt>
                <c:pt idx="555">
                  <c:v>3.5659124883039503E-3</c:v>
                </c:pt>
                <c:pt idx="556">
                  <c:v>-4.2246803014146424E-5</c:v>
                </c:pt>
                <c:pt idx="557">
                  <c:v>6.7781647305307493E-3</c:v>
                </c:pt>
                <c:pt idx="558">
                  <c:v>-1.0390218160231575E-3</c:v>
                </c:pt>
                <c:pt idx="559">
                  <c:v>4.9044741031898393E-3</c:v>
                </c:pt>
                <c:pt idx="560">
                  <c:v>-1.0301592786895311E-2</c:v>
                </c:pt>
                <c:pt idx="561">
                  <c:v>-1.0963897204770794E-2</c:v>
                </c:pt>
                <c:pt idx="562">
                  <c:v>-5.5943252441351798E-3</c:v>
                </c:pt>
                <c:pt idx="563">
                  <c:v>-6.8652458840651846E-3</c:v>
                </c:pt>
                <c:pt idx="564">
                  <c:v>6.8717687057722604E-3</c:v>
                </c:pt>
                <c:pt idx="565">
                  <c:v>8.5519659999096585E-3</c:v>
                </c:pt>
                <c:pt idx="566">
                  <c:v>1.4147135817252454E-3</c:v>
                </c:pt>
                <c:pt idx="567">
                  <c:v>1.5379287821888062E-3</c:v>
                </c:pt>
                <c:pt idx="568">
                  <c:v>7.4969295731127962E-3</c:v>
                </c:pt>
                <c:pt idx="569">
                  <c:v>-6.6636269533029242E-3</c:v>
                </c:pt>
                <c:pt idx="570">
                  <c:v>9.9666225742668108E-3</c:v>
                </c:pt>
                <c:pt idx="571">
                  <c:v>-1.7025173487335891E-3</c:v>
                </c:pt>
                <c:pt idx="572">
                  <c:v>1.917712824894799E-3</c:v>
                </c:pt>
                <c:pt idx="573">
                  <c:v>-7.609859324065384E-3</c:v>
                </c:pt>
                <c:pt idx="574">
                  <c:v>-1.4749337878968594E-3</c:v>
                </c:pt>
                <c:pt idx="575">
                  <c:v>-6.2469856068518509E-3</c:v>
                </c:pt>
                <c:pt idx="576">
                  <c:v>0</c:v>
                </c:pt>
                <c:pt idx="577">
                  <c:v>-1.5469117811904494E-2</c:v>
                </c:pt>
                <c:pt idx="578">
                  <c:v>4.4494691563246392E-3</c:v>
                </c:pt>
                <c:pt idx="579">
                  <c:v>2.2149680678431177E-3</c:v>
                </c:pt>
                <c:pt idx="580">
                  <c:v>5.1483245821085976E-3</c:v>
                </c:pt>
                <c:pt idx="581">
                  <c:v>-7.7860046334059458E-4</c:v>
                </c:pt>
                <c:pt idx="582">
                  <c:v>9.1573776707373055E-3</c:v>
                </c:pt>
                <c:pt idx="583">
                  <c:v>2.7785403440216423E-3</c:v>
                </c:pt>
                <c:pt idx="584">
                  <c:v>2.8020516732144497E-3</c:v>
                </c:pt>
                <c:pt idx="585">
                  <c:v>3.0516154749840011E-3</c:v>
                </c:pt>
                <c:pt idx="586">
                  <c:v>1.6366619636321567E-2</c:v>
                </c:pt>
                <c:pt idx="587">
                  <c:v>-4.5937576636628086E-4</c:v>
                </c:pt>
                <c:pt idx="588">
                  <c:v>-1.0737588989829833E-3</c:v>
                </c:pt>
                <c:pt idx="589">
                  <c:v>-1.9317094121502109E-3</c:v>
                </c:pt>
                <c:pt idx="590">
                  <c:v>-8.0151156325911337E-3</c:v>
                </c:pt>
                <c:pt idx="591">
                  <c:v>-9.5155996525689568E-3</c:v>
                </c:pt>
                <c:pt idx="592">
                  <c:v>1.8697799676243385E-3</c:v>
                </c:pt>
                <c:pt idx="593">
                  <c:v>3.2542317700539759E-2</c:v>
                </c:pt>
                <c:pt idx="594">
                  <c:v>-5.929359943157432E-2</c:v>
                </c:pt>
                <c:pt idx="595">
                  <c:v>3.3624236742900264E-2</c:v>
                </c:pt>
                <c:pt idx="596">
                  <c:v>8.8880492775410495E-3</c:v>
                </c:pt>
                <c:pt idx="597">
                  <c:v>2.0539931466469489E-2</c:v>
                </c:pt>
                <c:pt idx="598">
                  <c:v>-1.3289382627585521E-3</c:v>
                </c:pt>
                <c:pt idx="599">
                  <c:v>2.4293140734556418E-4</c:v>
                </c:pt>
                <c:pt idx="600">
                  <c:v>2.4973129410439717E-3</c:v>
                </c:pt>
                <c:pt idx="601">
                  <c:v>3.2564994798396879E-3</c:v>
                </c:pt>
                <c:pt idx="602">
                  <c:v>2.850527883167378E-3</c:v>
                </c:pt>
                <c:pt idx="603">
                  <c:v>3.9334508189851399E-3</c:v>
                </c:pt>
                <c:pt idx="604">
                  <c:v>-1.7786131320941801E-3</c:v>
                </c:pt>
                <c:pt idx="605">
                  <c:v>2.1687361796223848E-3</c:v>
                </c:pt>
                <c:pt idx="606">
                  <c:v>-2.7962995290023852E-3</c:v>
                </c:pt>
                <c:pt idx="607">
                  <c:v>1.5637566161340888E-3</c:v>
                </c:pt>
                <c:pt idx="608">
                  <c:v>7.7938798593502794E-3</c:v>
                </c:pt>
                <c:pt idx="609">
                  <c:v>6.2180401219035491E-3</c:v>
                </c:pt>
                <c:pt idx="610">
                  <c:v>7.3610409090957779E-3</c:v>
                </c:pt>
                <c:pt idx="611">
                  <c:v>-1.4099020981929015E-3</c:v>
                </c:pt>
                <c:pt idx="612">
                  <c:v>5.4704843751908266E-3</c:v>
                </c:pt>
                <c:pt idx="613">
                  <c:v>-7.4971618222744319E-4</c:v>
                </c:pt>
                <c:pt idx="614">
                  <c:v>6.7423066233723511E-3</c:v>
                </c:pt>
                <c:pt idx="615">
                  <c:v>6.4440701624355994E-4</c:v>
                </c:pt>
                <c:pt idx="616">
                  <c:v>8.9289291897549949E-4</c:v>
                </c:pt>
                <c:pt idx="617">
                  <c:v>-1.3562113123649877E-4</c:v>
                </c:pt>
                <c:pt idx="618">
                  <c:v>4.6318210066196826E-3</c:v>
                </c:pt>
                <c:pt idx="619">
                  <c:v>-4.4509111977212015E-3</c:v>
                </c:pt>
                <c:pt idx="620">
                  <c:v>-3.4944265021057868E-4</c:v>
                </c:pt>
                <c:pt idx="621">
                  <c:v>7.657573649418015E-3</c:v>
                </c:pt>
                <c:pt idx="622">
                  <c:v>3.4506697024868104E-3</c:v>
                </c:pt>
                <c:pt idx="623">
                  <c:v>1.0697158152761367E-3</c:v>
                </c:pt>
                <c:pt idx="624">
                  <c:v>7.6321297281924504E-3</c:v>
                </c:pt>
                <c:pt idx="625">
                  <c:v>-1.0884676221012989E-2</c:v>
                </c:pt>
                <c:pt idx="626">
                  <c:v>-8.8257628765809205E-4</c:v>
                </c:pt>
                <c:pt idx="627">
                  <c:v>-1.2321559819251208E-3</c:v>
                </c:pt>
                <c:pt idx="628">
                  <c:v>-2.677831815720589E-3</c:v>
                </c:pt>
                <c:pt idx="629">
                  <c:v>-3.0312699940603425E-4</c:v>
                </c:pt>
                <c:pt idx="630">
                  <c:v>1.7567329760544533E-2</c:v>
                </c:pt>
              </c:numCache>
            </c:numRef>
          </c:xVal>
          <c:yVal>
            <c:numRef>
              <c:f>'Beta 1'!$R$31:$R$661</c:f>
              <c:numCache>
                <c:formatCode>General</c:formatCode>
                <c:ptCount val="631"/>
                <c:pt idx="0">
                  <c:v>-1.1348470650988669E-2</c:v>
                </c:pt>
                <c:pt idx="1">
                  <c:v>-6.1267740303925702E-3</c:v>
                </c:pt>
                <c:pt idx="2">
                  <c:v>-2.3928958157758782E-3</c:v>
                </c:pt>
                <c:pt idx="3">
                  <c:v>-1.5877755452236769E-2</c:v>
                </c:pt>
                <c:pt idx="4">
                  <c:v>-2.0567988507442698E-2</c:v>
                </c:pt>
                <c:pt idx="5">
                  <c:v>2.2717007611374272E-3</c:v>
                </c:pt>
                <c:pt idx="6">
                  <c:v>-8.2178121609218918E-3</c:v>
                </c:pt>
                <c:pt idx="7">
                  <c:v>-2.3385945593716075E-2</c:v>
                </c:pt>
                <c:pt idx="8">
                  <c:v>1.3482856757176434E-2</c:v>
                </c:pt>
                <c:pt idx="9">
                  <c:v>-1.406624011216163E-2</c:v>
                </c:pt>
                <c:pt idx="10">
                  <c:v>-2.2393735491448834E-3</c:v>
                </c:pt>
                <c:pt idx="11">
                  <c:v>2.1290469500564371E-3</c:v>
                </c:pt>
                <c:pt idx="12">
                  <c:v>8.7651219968459607E-3</c:v>
                </c:pt>
                <c:pt idx="13">
                  <c:v>-4.6593752613813016E-2</c:v>
                </c:pt>
                <c:pt idx="14">
                  <c:v>-2.9485799897132191E-2</c:v>
                </c:pt>
                <c:pt idx="15">
                  <c:v>-2.0891912640029647E-3</c:v>
                </c:pt>
                <c:pt idx="16">
                  <c:v>-2.5779439165577581E-2</c:v>
                </c:pt>
                <c:pt idx="17">
                  <c:v>-2.3848061252096995E-3</c:v>
                </c:pt>
                <c:pt idx="18">
                  <c:v>2.6161812401114239E-2</c:v>
                </c:pt>
                <c:pt idx="19">
                  <c:v>-7.6831516911232143E-3</c:v>
                </c:pt>
                <c:pt idx="20">
                  <c:v>9.7030930533959208E-3</c:v>
                </c:pt>
                <c:pt idx="21">
                  <c:v>6.5693171818554941E-3</c:v>
                </c:pt>
                <c:pt idx="22">
                  <c:v>4.1788567645811743E-3</c:v>
                </c:pt>
                <c:pt idx="23">
                  <c:v>9.7683950017779866E-4</c:v>
                </c:pt>
                <c:pt idx="24">
                  <c:v>-9.3057695926331112E-3</c:v>
                </c:pt>
                <c:pt idx="25">
                  <c:v>2.242688706703681E-2</c:v>
                </c:pt>
                <c:pt idx="26">
                  <c:v>-1.0092179860104078E-2</c:v>
                </c:pt>
                <c:pt idx="27">
                  <c:v>-2.6658068458497285E-2</c:v>
                </c:pt>
                <c:pt idx="28">
                  <c:v>7.2985111075407165E-3</c:v>
                </c:pt>
                <c:pt idx="29">
                  <c:v>5.9880414992133923E-3</c:v>
                </c:pt>
                <c:pt idx="30">
                  <c:v>1.5150601995129428E-2</c:v>
                </c:pt>
                <c:pt idx="31">
                  <c:v>1.0997855983871777E-3</c:v>
                </c:pt>
                <c:pt idx="32">
                  <c:v>-3.5649191540615063E-3</c:v>
                </c:pt>
                <c:pt idx="33">
                  <c:v>2.8187246396443105E-3</c:v>
                </c:pt>
                <c:pt idx="34">
                  <c:v>6.8564042215415429E-3</c:v>
                </c:pt>
                <c:pt idx="35">
                  <c:v>-6.6720929509627141E-4</c:v>
                </c:pt>
                <c:pt idx="36">
                  <c:v>-8.5215944196242524E-3</c:v>
                </c:pt>
                <c:pt idx="37">
                  <c:v>-1.0932044043246818E-3</c:v>
                </c:pt>
                <c:pt idx="38">
                  <c:v>8.472927814372793E-3</c:v>
                </c:pt>
                <c:pt idx="39">
                  <c:v>-2.2674996021122027E-2</c:v>
                </c:pt>
                <c:pt idx="40">
                  <c:v>-3.3910132517798827E-2</c:v>
                </c:pt>
                <c:pt idx="41">
                  <c:v>-6.8772870357185715E-3</c:v>
                </c:pt>
                <c:pt idx="42">
                  <c:v>6.7863495429539566E-3</c:v>
                </c:pt>
                <c:pt idx="43">
                  <c:v>-4.2778459489101785E-3</c:v>
                </c:pt>
                <c:pt idx="44">
                  <c:v>1.5139652641621079E-4</c:v>
                </c:pt>
                <c:pt idx="45">
                  <c:v>2.0304013558617981E-2</c:v>
                </c:pt>
                <c:pt idx="46">
                  <c:v>-3.2889571249689629E-2</c:v>
                </c:pt>
                <c:pt idx="47">
                  <c:v>-8.3376860438972213E-3</c:v>
                </c:pt>
                <c:pt idx="48">
                  <c:v>-3.1733897377063478E-3</c:v>
                </c:pt>
                <c:pt idx="49">
                  <c:v>3.5756798252318131E-2</c:v>
                </c:pt>
                <c:pt idx="50">
                  <c:v>-4.6733785906238438E-3</c:v>
                </c:pt>
                <c:pt idx="51">
                  <c:v>-1.329856941141132E-3</c:v>
                </c:pt>
                <c:pt idx="52">
                  <c:v>-1.9675953226041189E-2</c:v>
                </c:pt>
                <c:pt idx="53">
                  <c:v>1.7523960908008035E-2</c:v>
                </c:pt>
                <c:pt idx="54">
                  <c:v>5.0873904098352749E-3</c:v>
                </c:pt>
                <c:pt idx="55">
                  <c:v>5.0516673869213232E-3</c:v>
                </c:pt>
                <c:pt idx="56">
                  <c:v>-1.9305675320140693E-2</c:v>
                </c:pt>
                <c:pt idx="57">
                  <c:v>1.6134531021796142E-2</c:v>
                </c:pt>
                <c:pt idx="58">
                  <c:v>-1.0083710313515248E-2</c:v>
                </c:pt>
                <c:pt idx="59">
                  <c:v>2.7627104440200471E-3</c:v>
                </c:pt>
                <c:pt idx="60">
                  <c:v>8.7173960644138637E-3</c:v>
                </c:pt>
                <c:pt idx="61">
                  <c:v>-1.0519970839341032E-2</c:v>
                </c:pt>
                <c:pt idx="62">
                  <c:v>7.030579546322191E-2</c:v>
                </c:pt>
                <c:pt idx="63">
                  <c:v>8.2590418841887829E-4</c:v>
                </c:pt>
                <c:pt idx="64">
                  <c:v>4.9509024476329993E-3</c:v>
                </c:pt>
                <c:pt idx="65">
                  <c:v>8.6188896500566711E-3</c:v>
                </c:pt>
                <c:pt idx="66">
                  <c:v>1.0278062993352537E-2</c:v>
                </c:pt>
                <c:pt idx="67">
                  <c:v>-9.1029168714743276E-3</c:v>
                </c:pt>
                <c:pt idx="68">
                  <c:v>1.6500200703686928E-2</c:v>
                </c:pt>
                <c:pt idx="69">
                  <c:v>1.7836893794412233E-2</c:v>
                </c:pt>
                <c:pt idx="70">
                  <c:v>1.4104512096308029E-2</c:v>
                </c:pt>
                <c:pt idx="71">
                  <c:v>2.4074222666409829E-3</c:v>
                </c:pt>
                <c:pt idx="72">
                  <c:v>4.9447561206284411E-3</c:v>
                </c:pt>
                <c:pt idx="73">
                  <c:v>6.1743605724754935E-3</c:v>
                </c:pt>
                <c:pt idx="74">
                  <c:v>-1.3893563436012807E-3</c:v>
                </c:pt>
                <c:pt idx="75">
                  <c:v>7.2387421792864635E-3</c:v>
                </c:pt>
                <c:pt idx="76">
                  <c:v>-4.3496566685087557E-4</c:v>
                </c:pt>
                <c:pt idx="77">
                  <c:v>-8.5439561203769099E-3</c:v>
                </c:pt>
                <c:pt idx="78">
                  <c:v>2.1466128240184559E-3</c:v>
                </c:pt>
                <c:pt idx="79">
                  <c:v>-1.5372105576804566E-2</c:v>
                </c:pt>
                <c:pt idx="80">
                  <c:v>-1.1209022107929425E-2</c:v>
                </c:pt>
                <c:pt idx="81">
                  <c:v>-3.474210716004168E-3</c:v>
                </c:pt>
                <c:pt idx="82">
                  <c:v>3.8293230771036593E-3</c:v>
                </c:pt>
                <c:pt idx="83">
                  <c:v>-1.3657848217252189E-2</c:v>
                </c:pt>
                <c:pt idx="84">
                  <c:v>1.0000038104127865E-2</c:v>
                </c:pt>
                <c:pt idx="85">
                  <c:v>7.3378041098631983E-3</c:v>
                </c:pt>
                <c:pt idx="86">
                  <c:v>-7.3533579414599669E-3</c:v>
                </c:pt>
                <c:pt idx="87">
                  <c:v>3.062704850204722E-2</c:v>
                </c:pt>
                <c:pt idx="88">
                  <c:v>-2.1868623294001247E-3</c:v>
                </c:pt>
                <c:pt idx="89">
                  <c:v>-6.7328788068997478E-3</c:v>
                </c:pt>
                <c:pt idx="90">
                  <c:v>-7.3425628137383514E-3</c:v>
                </c:pt>
                <c:pt idx="91">
                  <c:v>-1.9896106069664486E-3</c:v>
                </c:pt>
                <c:pt idx="92">
                  <c:v>-1.0394009831666559E-2</c:v>
                </c:pt>
                <c:pt idx="93">
                  <c:v>1.5377788564492036E-2</c:v>
                </c:pt>
                <c:pt idx="94">
                  <c:v>-1.8200427830748558E-2</c:v>
                </c:pt>
                <c:pt idx="95">
                  <c:v>1.4217109028994073E-2</c:v>
                </c:pt>
                <c:pt idx="96">
                  <c:v>-5.3117942193422016E-2</c:v>
                </c:pt>
                <c:pt idx="97">
                  <c:v>-1.3950979050057176E-3</c:v>
                </c:pt>
                <c:pt idx="98">
                  <c:v>1.6146658478777338E-2</c:v>
                </c:pt>
                <c:pt idx="99">
                  <c:v>-9.5896863809027365E-3</c:v>
                </c:pt>
                <c:pt idx="100">
                  <c:v>-6.1506841217920591E-3</c:v>
                </c:pt>
                <c:pt idx="101">
                  <c:v>-2.17372586174172E-2</c:v>
                </c:pt>
                <c:pt idx="102">
                  <c:v>-1.097678836189887E-2</c:v>
                </c:pt>
                <c:pt idx="103">
                  <c:v>-5.5070958705432556E-3</c:v>
                </c:pt>
                <c:pt idx="104">
                  <c:v>-7.2643943450162712E-3</c:v>
                </c:pt>
                <c:pt idx="105">
                  <c:v>-1.8303890951584235E-2</c:v>
                </c:pt>
                <c:pt idx="106">
                  <c:v>1.4880626493500759E-2</c:v>
                </c:pt>
                <c:pt idx="107">
                  <c:v>5.0592659247467925E-3</c:v>
                </c:pt>
                <c:pt idx="108">
                  <c:v>-7.5182034229599702E-3</c:v>
                </c:pt>
                <c:pt idx="109">
                  <c:v>3.3576178677366751E-2</c:v>
                </c:pt>
                <c:pt idx="110">
                  <c:v>-6.1232200067603704E-3</c:v>
                </c:pt>
                <c:pt idx="111">
                  <c:v>-2.157787157465129E-3</c:v>
                </c:pt>
                <c:pt idx="112">
                  <c:v>-1.8520760215220609E-2</c:v>
                </c:pt>
                <c:pt idx="113">
                  <c:v>-1.5064410892231496E-3</c:v>
                </c:pt>
                <c:pt idx="114">
                  <c:v>1.7969204188123714E-2</c:v>
                </c:pt>
                <c:pt idx="115">
                  <c:v>6.6154504488044148E-3</c:v>
                </c:pt>
                <c:pt idx="116">
                  <c:v>-1.1400326583881813E-2</c:v>
                </c:pt>
                <c:pt idx="117">
                  <c:v>2.1799553746674393E-3</c:v>
                </c:pt>
                <c:pt idx="118">
                  <c:v>-1.0601964000284868E-2</c:v>
                </c:pt>
                <c:pt idx="119">
                  <c:v>2.7594632208264042E-3</c:v>
                </c:pt>
                <c:pt idx="120">
                  <c:v>-4.856869762745547E-3</c:v>
                </c:pt>
                <c:pt idx="121">
                  <c:v>4.1496670393953829E-4</c:v>
                </c:pt>
                <c:pt idx="122">
                  <c:v>1.3115128142741007E-2</c:v>
                </c:pt>
                <c:pt idx="123">
                  <c:v>1.5498867124790157E-2</c:v>
                </c:pt>
                <c:pt idx="124">
                  <c:v>2.2229832905369284E-2</c:v>
                </c:pt>
                <c:pt idx="125">
                  <c:v>2.5893648130505285E-2</c:v>
                </c:pt>
                <c:pt idx="126">
                  <c:v>1.3801210809839065E-2</c:v>
                </c:pt>
                <c:pt idx="127">
                  <c:v>-7.0994758206682348E-3</c:v>
                </c:pt>
                <c:pt idx="128">
                  <c:v>4.7630506654170787E-3</c:v>
                </c:pt>
                <c:pt idx="129">
                  <c:v>4.5081318418122036E-3</c:v>
                </c:pt>
                <c:pt idx="130">
                  <c:v>1.0487459391292982E-2</c:v>
                </c:pt>
                <c:pt idx="131">
                  <c:v>1.195085953793913E-2</c:v>
                </c:pt>
                <c:pt idx="132">
                  <c:v>5.7334548066419518E-3</c:v>
                </c:pt>
                <c:pt idx="133">
                  <c:v>-5.6900567174442158E-3</c:v>
                </c:pt>
                <c:pt idx="134">
                  <c:v>-5.8896391733762547E-3</c:v>
                </c:pt>
                <c:pt idx="135">
                  <c:v>-3.6709184419980723E-2</c:v>
                </c:pt>
                <c:pt idx="136">
                  <c:v>2.3563857410099899E-2</c:v>
                </c:pt>
                <c:pt idx="137">
                  <c:v>-2.9679292862510191E-2</c:v>
                </c:pt>
                <c:pt idx="138">
                  <c:v>3.7812174323671949E-3</c:v>
                </c:pt>
                <c:pt idx="139">
                  <c:v>-6.2269653371198799E-3</c:v>
                </c:pt>
                <c:pt idx="140">
                  <c:v>1.194156370819691E-3</c:v>
                </c:pt>
                <c:pt idx="141">
                  <c:v>-9.8379847022866777E-3</c:v>
                </c:pt>
                <c:pt idx="142">
                  <c:v>9.239077409172812E-3</c:v>
                </c:pt>
                <c:pt idx="143">
                  <c:v>2.2645077750261394E-2</c:v>
                </c:pt>
                <c:pt idx="144">
                  <c:v>1.4176071970093559E-3</c:v>
                </c:pt>
                <c:pt idx="145">
                  <c:v>-1.0340289463869482E-2</c:v>
                </c:pt>
                <c:pt idx="146">
                  <c:v>2.3938387156176875E-2</c:v>
                </c:pt>
                <c:pt idx="147">
                  <c:v>-1.6461006216521398E-2</c:v>
                </c:pt>
                <c:pt idx="148">
                  <c:v>6.3360051603639075E-3</c:v>
                </c:pt>
                <c:pt idx="149">
                  <c:v>2.5527356138247701E-3</c:v>
                </c:pt>
                <c:pt idx="150">
                  <c:v>-6.1456515732842129E-3</c:v>
                </c:pt>
                <c:pt idx="151">
                  <c:v>-1.0268237476411729E-2</c:v>
                </c:pt>
                <c:pt idx="152">
                  <c:v>-2.3694890996493012E-3</c:v>
                </c:pt>
                <c:pt idx="153">
                  <c:v>3.1009797843772693E-2</c:v>
                </c:pt>
                <c:pt idx="154">
                  <c:v>6.3934551029304742E-3</c:v>
                </c:pt>
                <c:pt idx="155">
                  <c:v>2.3890387255719901E-3</c:v>
                </c:pt>
                <c:pt idx="156">
                  <c:v>-3.5188465411296117E-2</c:v>
                </c:pt>
                <c:pt idx="157">
                  <c:v>-4.1925303933206719E-4</c:v>
                </c:pt>
                <c:pt idx="158">
                  <c:v>4.4460747234751187E-3</c:v>
                </c:pt>
                <c:pt idx="159">
                  <c:v>1.2718511719689116E-2</c:v>
                </c:pt>
                <c:pt idx="160">
                  <c:v>7.8164033112048219E-3</c:v>
                </c:pt>
                <c:pt idx="161">
                  <c:v>2.5549526271968978E-2</c:v>
                </c:pt>
                <c:pt idx="162">
                  <c:v>1.5933819486594981E-2</c:v>
                </c:pt>
                <c:pt idx="163">
                  <c:v>4.4586838265248136E-3</c:v>
                </c:pt>
                <c:pt idx="164">
                  <c:v>-1.898501270311149E-3</c:v>
                </c:pt>
                <c:pt idx="165">
                  <c:v>-7.4330183138070546E-3</c:v>
                </c:pt>
                <c:pt idx="166">
                  <c:v>-7.4132531402942067E-4</c:v>
                </c:pt>
                <c:pt idx="167">
                  <c:v>-6.7276163043992199E-3</c:v>
                </c:pt>
                <c:pt idx="168">
                  <c:v>-2.1203975647678609E-2</c:v>
                </c:pt>
                <c:pt idx="169">
                  <c:v>-3.6890705721689936E-3</c:v>
                </c:pt>
                <c:pt idx="170">
                  <c:v>2.3285775073963493E-2</c:v>
                </c:pt>
                <c:pt idx="171">
                  <c:v>-9.4291741554191292E-3</c:v>
                </c:pt>
                <c:pt idx="172">
                  <c:v>-4.4781296151125199E-3</c:v>
                </c:pt>
                <c:pt idx="173">
                  <c:v>-2.3042063984605185E-3</c:v>
                </c:pt>
                <c:pt idx="174">
                  <c:v>-2.6609919300476188E-2</c:v>
                </c:pt>
                <c:pt idx="175">
                  <c:v>4.3394399625865969E-3</c:v>
                </c:pt>
                <c:pt idx="176">
                  <c:v>-3.9194435410867239E-3</c:v>
                </c:pt>
                <c:pt idx="177">
                  <c:v>1.9427573811914419E-4</c:v>
                </c:pt>
                <c:pt idx="178">
                  <c:v>2.9954994826441083E-3</c:v>
                </c:pt>
                <c:pt idx="179">
                  <c:v>7.6601721975302533E-3</c:v>
                </c:pt>
                <c:pt idx="180">
                  <c:v>3.1488777175383859E-3</c:v>
                </c:pt>
                <c:pt idx="181">
                  <c:v>1.6549994881549592E-2</c:v>
                </c:pt>
                <c:pt idx="182">
                  <c:v>1.0651215504902821E-2</c:v>
                </c:pt>
                <c:pt idx="183">
                  <c:v>1.2464379511950407E-2</c:v>
                </c:pt>
                <c:pt idx="184">
                  <c:v>-1.3709547753336798E-3</c:v>
                </c:pt>
                <c:pt idx="185">
                  <c:v>-9.7313912972895236E-3</c:v>
                </c:pt>
                <c:pt idx="186">
                  <c:v>-2.3758171646342981E-3</c:v>
                </c:pt>
                <c:pt idx="187">
                  <c:v>4.2167895214451166E-3</c:v>
                </c:pt>
                <c:pt idx="188">
                  <c:v>-7.0696899466754157E-4</c:v>
                </c:pt>
                <c:pt idx="189">
                  <c:v>-8.4786627504257863E-4</c:v>
                </c:pt>
                <c:pt idx="190">
                  <c:v>-3.7799489691591436E-2</c:v>
                </c:pt>
                <c:pt idx="191">
                  <c:v>-1.3610210081532608E-2</c:v>
                </c:pt>
                <c:pt idx="192">
                  <c:v>-2.6166082854900657E-2</c:v>
                </c:pt>
                <c:pt idx="193">
                  <c:v>1.0508465322359651E-2</c:v>
                </c:pt>
                <c:pt idx="194">
                  <c:v>-2.2878328981463754E-2</c:v>
                </c:pt>
                <c:pt idx="195">
                  <c:v>1.2486606561063297E-2</c:v>
                </c:pt>
                <c:pt idx="196">
                  <c:v>-7.9165528108905842E-3</c:v>
                </c:pt>
                <c:pt idx="197">
                  <c:v>-3.3495693571892832E-2</c:v>
                </c:pt>
                <c:pt idx="198">
                  <c:v>-3.6912764000466711E-2</c:v>
                </c:pt>
                <c:pt idx="199">
                  <c:v>1.7445774224290212E-3</c:v>
                </c:pt>
                <c:pt idx="200">
                  <c:v>2.8991082363100463E-3</c:v>
                </c:pt>
                <c:pt idx="201">
                  <c:v>5.5310866326742083E-3</c:v>
                </c:pt>
                <c:pt idx="202">
                  <c:v>-1.5576623345970478E-3</c:v>
                </c:pt>
                <c:pt idx="203">
                  <c:v>1.4587460367146031E-2</c:v>
                </c:pt>
                <c:pt idx="204">
                  <c:v>-2.1117278709076597E-3</c:v>
                </c:pt>
                <c:pt idx="205">
                  <c:v>2.0475695695312017E-3</c:v>
                </c:pt>
                <c:pt idx="206">
                  <c:v>-9.5953355490277885E-3</c:v>
                </c:pt>
                <c:pt idx="207">
                  <c:v>-1.3208712731537929E-3</c:v>
                </c:pt>
                <c:pt idx="208">
                  <c:v>1.5702418879241845E-2</c:v>
                </c:pt>
                <c:pt idx="209">
                  <c:v>-2.2066913183620689E-2</c:v>
                </c:pt>
                <c:pt idx="210">
                  <c:v>2.4978647409470221E-2</c:v>
                </c:pt>
                <c:pt idx="211">
                  <c:v>-5.8231456593810446E-3</c:v>
                </c:pt>
                <c:pt idx="212">
                  <c:v>3.3516700058973301E-3</c:v>
                </c:pt>
                <c:pt idx="213">
                  <c:v>-3.9057838794703051E-3</c:v>
                </c:pt>
                <c:pt idx="214">
                  <c:v>-5.4750743635287903E-3</c:v>
                </c:pt>
                <c:pt idx="215">
                  <c:v>-4.6686402801792062E-3</c:v>
                </c:pt>
                <c:pt idx="216">
                  <c:v>-2.9918584143988217E-4</c:v>
                </c:pt>
                <c:pt idx="217">
                  <c:v>1.6704777555087424E-2</c:v>
                </c:pt>
                <c:pt idx="218">
                  <c:v>1.2316067656408772E-3</c:v>
                </c:pt>
                <c:pt idx="219">
                  <c:v>-9.7350253636533225E-4</c:v>
                </c:pt>
                <c:pt idx="220">
                  <c:v>-7.4103830991552851E-3</c:v>
                </c:pt>
                <c:pt idx="221">
                  <c:v>1.502972591737455E-3</c:v>
                </c:pt>
                <c:pt idx="222">
                  <c:v>-2.2206591941686876E-2</c:v>
                </c:pt>
                <c:pt idx="223">
                  <c:v>8.4851243020535091E-3</c:v>
                </c:pt>
                <c:pt idx="224">
                  <c:v>9.2661901232896221E-3</c:v>
                </c:pt>
                <c:pt idx="225">
                  <c:v>-4.8451875909363068E-3</c:v>
                </c:pt>
                <c:pt idx="226">
                  <c:v>-4.5694970020908826E-3</c:v>
                </c:pt>
                <c:pt idx="227">
                  <c:v>-4.0455844933565263E-3</c:v>
                </c:pt>
                <c:pt idx="228">
                  <c:v>-7.3940542144925545E-3</c:v>
                </c:pt>
                <c:pt idx="229">
                  <c:v>-1.04273644642549E-2</c:v>
                </c:pt>
                <c:pt idx="230">
                  <c:v>3.4186607233785567E-3</c:v>
                </c:pt>
                <c:pt idx="231">
                  <c:v>-2.0624872168869986E-2</c:v>
                </c:pt>
                <c:pt idx="232">
                  <c:v>-1.2843903904723243E-2</c:v>
                </c:pt>
                <c:pt idx="233">
                  <c:v>-1.7897074312223257E-2</c:v>
                </c:pt>
                <c:pt idx="234">
                  <c:v>8.9525610195405163E-4</c:v>
                </c:pt>
                <c:pt idx="235">
                  <c:v>9.3787370677722338E-3</c:v>
                </c:pt>
                <c:pt idx="236">
                  <c:v>5.1316832881680985E-3</c:v>
                </c:pt>
                <c:pt idx="237">
                  <c:v>1.131199904933722E-3</c:v>
                </c:pt>
                <c:pt idx="238">
                  <c:v>9.7113329182767303E-3</c:v>
                </c:pt>
                <c:pt idx="239">
                  <c:v>-6.0137541699141562E-3</c:v>
                </c:pt>
                <c:pt idx="240">
                  <c:v>-1.269119619157694E-2</c:v>
                </c:pt>
                <c:pt idx="241">
                  <c:v>-1.9589641174351864E-2</c:v>
                </c:pt>
                <c:pt idx="242">
                  <c:v>-1.7274529055456497E-4</c:v>
                </c:pt>
                <c:pt idx="243">
                  <c:v>-5.7437524392116293E-3</c:v>
                </c:pt>
                <c:pt idx="244">
                  <c:v>1.1373644726084457E-3</c:v>
                </c:pt>
                <c:pt idx="245">
                  <c:v>-1.0170202410423757E-2</c:v>
                </c:pt>
                <c:pt idx="246">
                  <c:v>8.3217680466579451E-4</c:v>
                </c:pt>
                <c:pt idx="247">
                  <c:v>-3.4211815431070655E-3</c:v>
                </c:pt>
                <c:pt idx="248">
                  <c:v>2.3248266951541363E-2</c:v>
                </c:pt>
                <c:pt idx="249">
                  <c:v>2.6240019906238594E-2</c:v>
                </c:pt>
                <c:pt idx="250">
                  <c:v>1.7990031572037407E-2</c:v>
                </c:pt>
                <c:pt idx="251">
                  <c:v>2.7256963160248497E-2</c:v>
                </c:pt>
                <c:pt idx="252">
                  <c:v>-1.5526806629051208E-2</c:v>
                </c:pt>
                <c:pt idx="253">
                  <c:v>3.6616821470391745E-3</c:v>
                </c:pt>
                <c:pt idx="254">
                  <c:v>6.4096091559068414E-3</c:v>
                </c:pt>
                <c:pt idx="255">
                  <c:v>5.0012670075510295E-3</c:v>
                </c:pt>
                <c:pt idx="256">
                  <c:v>-2.1102916034964905E-2</c:v>
                </c:pt>
                <c:pt idx="257">
                  <c:v>7.4380354928668046E-3</c:v>
                </c:pt>
                <c:pt idx="258">
                  <c:v>-7.1378682421134199E-3</c:v>
                </c:pt>
                <c:pt idx="259">
                  <c:v>1.6102020184564005E-2</c:v>
                </c:pt>
                <c:pt idx="260">
                  <c:v>4.4861894390281478E-3</c:v>
                </c:pt>
                <c:pt idx="261">
                  <c:v>-3.9766329374047567E-2</c:v>
                </c:pt>
                <c:pt idx="262">
                  <c:v>3.6245922490495026E-2</c:v>
                </c:pt>
                <c:pt idx="263">
                  <c:v>-5.6202430954324341E-3</c:v>
                </c:pt>
                <c:pt idx="264">
                  <c:v>1.0796299485325289E-3</c:v>
                </c:pt>
                <c:pt idx="265">
                  <c:v>4.249242721151604E-3</c:v>
                </c:pt>
                <c:pt idx="266">
                  <c:v>2.5052256040763899E-3</c:v>
                </c:pt>
                <c:pt idx="267">
                  <c:v>3.7185228270660564E-3</c:v>
                </c:pt>
                <c:pt idx="268">
                  <c:v>1.559950561631092E-2</c:v>
                </c:pt>
                <c:pt idx="269">
                  <c:v>7.9244987693791148E-4</c:v>
                </c:pt>
                <c:pt idx="270">
                  <c:v>-1.2266619221712925E-2</c:v>
                </c:pt>
                <c:pt idx="271">
                  <c:v>5.8202864754797901E-3</c:v>
                </c:pt>
                <c:pt idx="272">
                  <c:v>1.3024375287736451E-3</c:v>
                </c:pt>
                <c:pt idx="273">
                  <c:v>1.9553700598050169E-2</c:v>
                </c:pt>
                <c:pt idx="274">
                  <c:v>2.5581868102475661E-3</c:v>
                </c:pt>
                <c:pt idx="275">
                  <c:v>-2.5930294017710284E-2</c:v>
                </c:pt>
                <c:pt idx="276">
                  <c:v>-1.0921846208250414E-2</c:v>
                </c:pt>
                <c:pt idx="277">
                  <c:v>8.5094713089366759E-3</c:v>
                </c:pt>
                <c:pt idx="278">
                  <c:v>9.7317995970112488E-3</c:v>
                </c:pt>
                <c:pt idx="279">
                  <c:v>6.5750313982440873E-3</c:v>
                </c:pt>
                <c:pt idx="280">
                  <c:v>3.4999844993876344E-3</c:v>
                </c:pt>
                <c:pt idx="281">
                  <c:v>-5.1480530326592413E-3</c:v>
                </c:pt>
                <c:pt idx="282">
                  <c:v>1.4568113832161946E-3</c:v>
                </c:pt>
                <c:pt idx="283">
                  <c:v>-8.4767056833094483E-4</c:v>
                </c:pt>
                <c:pt idx="284">
                  <c:v>4.0784111251625276E-4</c:v>
                </c:pt>
                <c:pt idx="285">
                  <c:v>-1.4109197913574626E-2</c:v>
                </c:pt>
                <c:pt idx="286">
                  <c:v>-6.7198442877116869E-3</c:v>
                </c:pt>
                <c:pt idx="287">
                  <c:v>2.7448950865592171E-2</c:v>
                </c:pt>
                <c:pt idx="288">
                  <c:v>8.0122703910435362E-3</c:v>
                </c:pt>
                <c:pt idx="289">
                  <c:v>-8.0788229090424518E-3</c:v>
                </c:pt>
                <c:pt idx="290">
                  <c:v>-6.2824907293313938E-3</c:v>
                </c:pt>
                <c:pt idx="291">
                  <c:v>1.1348984797581297E-2</c:v>
                </c:pt>
                <c:pt idx="292">
                  <c:v>-4.5107287622633248E-3</c:v>
                </c:pt>
                <c:pt idx="293">
                  <c:v>-2.6277216116890011E-3</c:v>
                </c:pt>
                <c:pt idx="294">
                  <c:v>1.2157341486095975E-2</c:v>
                </c:pt>
                <c:pt idx="295">
                  <c:v>2.6815448371012851E-3</c:v>
                </c:pt>
                <c:pt idx="296">
                  <c:v>-1.8963275698395159E-2</c:v>
                </c:pt>
                <c:pt idx="297">
                  <c:v>1.121050581015756E-2</c:v>
                </c:pt>
                <c:pt idx="298">
                  <c:v>-1.873140692531805E-3</c:v>
                </c:pt>
                <c:pt idx="299">
                  <c:v>1.6080881642412739E-3</c:v>
                </c:pt>
                <c:pt idx="300">
                  <c:v>-1.2332446511564867E-2</c:v>
                </c:pt>
                <c:pt idx="301">
                  <c:v>1.9806633019567428E-2</c:v>
                </c:pt>
                <c:pt idx="302">
                  <c:v>-1.0136022177380475E-2</c:v>
                </c:pt>
                <c:pt idx="303">
                  <c:v>1.6946222844842138E-3</c:v>
                </c:pt>
                <c:pt idx="304">
                  <c:v>-2.1782001142780279E-3</c:v>
                </c:pt>
                <c:pt idx="305">
                  <c:v>-1.3428985629195979E-2</c:v>
                </c:pt>
                <c:pt idx="306">
                  <c:v>-1.9068510987222453E-2</c:v>
                </c:pt>
                <c:pt idx="307">
                  <c:v>2.5184721062213537E-2</c:v>
                </c:pt>
                <c:pt idx="308">
                  <c:v>-5.0444324854009509E-3</c:v>
                </c:pt>
                <c:pt idx="309">
                  <c:v>-1.4346591561032425E-3</c:v>
                </c:pt>
                <c:pt idx="310">
                  <c:v>2.9508065746599484E-3</c:v>
                </c:pt>
                <c:pt idx="311">
                  <c:v>-7.2469707054187487E-3</c:v>
                </c:pt>
                <c:pt idx="312">
                  <c:v>-2.197089382257077E-2</c:v>
                </c:pt>
                <c:pt idx="313">
                  <c:v>-1.6037445168129907E-3</c:v>
                </c:pt>
                <c:pt idx="314">
                  <c:v>3.5369064215251666E-3</c:v>
                </c:pt>
                <c:pt idx="315">
                  <c:v>2.8820710092691171E-3</c:v>
                </c:pt>
                <c:pt idx="316">
                  <c:v>2.9499105501026239E-2</c:v>
                </c:pt>
                <c:pt idx="317">
                  <c:v>-2.3986798958614882E-3</c:v>
                </c:pt>
                <c:pt idx="318">
                  <c:v>6.2849925195548381E-3</c:v>
                </c:pt>
                <c:pt idx="319">
                  <c:v>-8.3981775417912349E-3</c:v>
                </c:pt>
                <c:pt idx="320">
                  <c:v>2.2083713637805601E-3</c:v>
                </c:pt>
                <c:pt idx="321">
                  <c:v>-1.0879906284195282E-2</c:v>
                </c:pt>
                <c:pt idx="322">
                  <c:v>1.0406633263017736E-2</c:v>
                </c:pt>
                <c:pt idx="323">
                  <c:v>1.2555415904942219E-3</c:v>
                </c:pt>
                <c:pt idx="324">
                  <c:v>-3.408428726985093E-3</c:v>
                </c:pt>
                <c:pt idx="325">
                  <c:v>8.5615426748460437E-4</c:v>
                </c:pt>
                <c:pt idx="326">
                  <c:v>-7.3590368634403446E-3</c:v>
                </c:pt>
                <c:pt idx="327">
                  <c:v>1.5108268480855374E-2</c:v>
                </c:pt>
                <c:pt idx="328">
                  <c:v>4.7962406650575154E-3</c:v>
                </c:pt>
                <c:pt idx="329">
                  <c:v>3.1317015062648619E-2</c:v>
                </c:pt>
                <c:pt idx="330">
                  <c:v>-3.0076251300091332E-2</c:v>
                </c:pt>
                <c:pt idx="331">
                  <c:v>-1.4783288425305812E-2</c:v>
                </c:pt>
                <c:pt idx="332">
                  <c:v>1.0846002222907776E-2</c:v>
                </c:pt>
                <c:pt idx="333">
                  <c:v>2.1607290869846432E-2</c:v>
                </c:pt>
                <c:pt idx="334">
                  <c:v>1.7769161484921921E-2</c:v>
                </c:pt>
                <c:pt idx="335">
                  <c:v>-9.4882196740983856E-3</c:v>
                </c:pt>
                <c:pt idx="336">
                  <c:v>-9.8130486294123812E-4</c:v>
                </c:pt>
                <c:pt idx="337">
                  <c:v>-1.2762937588465705E-2</c:v>
                </c:pt>
                <c:pt idx="338">
                  <c:v>-1.739986599310486E-3</c:v>
                </c:pt>
                <c:pt idx="339">
                  <c:v>-7.0561002349058509E-3</c:v>
                </c:pt>
                <c:pt idx="340">
                  <c:v>-1.4465364687696173E-3</c:v>
                </c:pt>
                <c:pt idx="341">
                  <c:v>-1.2607931395072668E-2</c:v>
                </c:pt>
                <c:pt idx="342">
                  <c:v>2.1354706728336871E-2</c:v>
                </c:pt>
                <c:pt idx="343">
                  <c:v>2.3441777293983761E-3</c:v>
                </c:pt>
                <c:pt idx="344">
                  <c:v>8.6076920230918931E-4</c:v>
                </c:pt>
                <c:pt idx="345">
                  <c:v>2.3304750396319551E-3</c:v>
                </c:pt>
                <c:pt idx="346">
                  <c:v>-8.702626972937777E-3</c:v>
                </c:pt>
                <c:pt idx="347">
                  <c:v>1.9152401082413388E-2</c:v>
                </c:pt>
                <c:pt idx="348">
                  <c:v>2.0099761891609409E-2</c:v>
                </c:pt>
                <c:pt idx="349">
                  <c:v>1.0083124397066551E-3</c:v>
                </c:pt>
                <c:pt idx="350">
                  <c:v>9.2399648204844163E-3</c:v>
                </c:pt>
                <c:pt idx="351">
                  <c:v>-9.6947986477200036E-3</c:v>
                </c:pt>
                <c:pt idx="352">
                  <c:v>3.0749448497705738E-3</c:v>
                </c:pt>
                <c:pt idx="353">
                  <c:v>1.0742599534193814E-2</c:v>
                </c:pt>
                <c:pt idx="354">
                  <c:v>-4.3016242104975677E-3</c:v>
                </c:pt>
                <c:pt idx="355">
                  <c:v>-1.1757308043894342E-3</c:v>
                </c:pt>
                <c:pt idx="356">
                  <c:v>-2.0461625791770334E-3</c:v>
                </c:pt>
                <c:pt idx="357">
                  <c:v>6.1366116119235849E-3</c:v>
                </c:pt>
                <c:pt idx="358">
                  <c:v>-1.5255828925084492E-3</c:v>
                </c:pt>
                <c:pt idx="359">
                  <c:v>-9.0414655119134459E-3</c:v>
                </c:pt>
                <c:pt idx="360">
                  <c:v>-7.5628556189706831E-3</c:v>
                </c:pt>
                <c:pt idx="361">
                  <c:v>4.7463218224149178E-3</c:v>
                </c:pt>
                <c:pt idx="362">
                  <c:v>-7.2524957855519406E-3</c:v>
                </c:pt>
                <c:pt idx="363">
                  <c:v>-7.1215025325570627E-3</c:v>
                </c:pt>
                <c:pt idx="364">
                  <c:v>-2.6353734437823483E-2</c:v>
                </c:pt>
                <c:pt idx="365">
                  <c:v>3.0605996975468651E-3</c:v>
                </c:pt>
                <c:pt idx="366">
                  <c:v>-8.7671593269309026E-3</c:v>
                </c:pt>
                <c:pt idx="367">
                  <c:v>-3.6393996860658736E-3</c:v>
                </c:pt>
                <c:pt idx="368">
                  <c:v>-1.400848298049865E-2</c:v>
                </c:pt>
                <c:pt idx="369">
                  <c:v>6.4421043676865779E-4</c:v>
                </c:pt>
                <c:pt idx="370">
                  <c:v>-1.2864828361572787E-2</c:v>
                </c:pt>
                <c:pt idx="371">
                  <c:v>6.9707199100801894E-3</c:v>
                </c:pt>
                <c:pt idx="372">
                  <c:v>1.280587754343971E-2</c:v>
                </c:pt>
                <c:pt idx="373">
                  <c:v>-1.226320216804274E-2</c:v>
                </c:pt>
                <c:pt idx="374">
                  <c:v>4.1738841712748685E-3</c:v>
                </c:pt>
                <c:pt idx="375">
                  <c:v>9.358727769567924E-3</c:v>
                </c:pt>
                <c:pt idx="376">
                  <c:v>-1.0931602192253441E-2</c:v>
                </c:pt>
                <c:pt idx="377">
                  <c:v>-1.5545064385885779E-2</c:v>
                </c:pt>
                <c:pt idx="378">
                  <c:v>5.8895660952331882E-4</c:v>
                </c:pt>
                <c:pt idx="379">
                  <c:v>8.0003899185472956E-3</c:v>
                </c:pt>
                <c:pt idx="380">
                  <c:v>2.605413049803898E-2</c:v>
                </c:pt>
                <c:pt idx="381">
                  <c:v>1.881171885305866E-2</c:v>
                </c:pt>
                <c:pt idx="382">
                  <c:v>-1.7438197840360152E-2</c:v>
                </c:pt>
                <c:pt idx="383">
                  <c:v>-2.4426613897161595E-2</c:v>
                </c:pt>
                <c:pt idx="384">
                  <c:v>-2.3508520081135767E-3</c:v>
                </c:pt>
                <c:pt idx="385">
                  <c:v>5.1790823168513279E-3</c:v>
                </c:pt>
                <c:pt idx="386">
                  <c:v>-6.6773274255044375E-3</c:v>
                </c:pt>
                <c:pt idx="387">
                  <c:v>1.5469450137111231E-2</c:v>
                </c:pt>
                <c:pt idx="388">
                  <c:v>8.2785269907892246E-3</c:v>
                </c:pt>
                <c:pt idx="389">
                  <c:v>2.4409400120379635E-3</c:v>
                </c:pt>
                <c:pt idx="390">
                  <c:v>-9.1313296913512979E-3</c:v>
                </c:pt>
                <c:pt idx="391">
                  <c:v>1.1691898364525012E-3</c:v>
                </c:pt>
                <c:pt idx="392">
                  <c:v>-2.6264952832013733E-3</c:v>
                </c:pt>
                <c:pt idx="393">
                  <c:v>4.1483519910356856E-3</c:v>
                </c:pt>
                <c:pt idx="394">
                  <c:v>1.2979565181505206E-3</c:v>
                </c:pt>
                <c:pt idx="395">
                  <c:v>3.6259462074341563E-3</c:v>
                </c:pt>
                <c:pt idx="396">
                  <c:v>-1.1223846521537496E-2</c:v>
                </c:pt>
                <c:pt idx="397">
                  <c:v>-1.277598689469505E-2</c:v>
                </c:pt>
                <c:pt idx="398">
                  <c:v>1.2056427182971636E-2</c:v>
                </c:pt>
                <c:pt idx="399">
                  <c:v>-1.9709712200912138E-2</c:v>
                </c:pt>
                <c:pt idx="400">
                  <c:v>-5.9112465665620301E-3</c:v>
                </c:pt>
                <c:pt idx="401">
                  <c:v>2.4606365140033153E-2</c:v>
                </c:pt>
                <c:pt idx="402">
                  <c:v>-5.7909571463425173E-3</c:v>
                </c:pt>
                <c:pt idx="403">
                  <c:v>-1.2197292962476533E-4</c:v>
                </c:pt>
                <c:pt idx="404">
                  <c:v>2.2114526839144704E-2</c:v>
                </c:pt>
                <c:pt idx="405">
                  <c:v>1.3576717114358101E-2</c:v>
                </c:pt>
                <c:pt idx="406">
                  <c:v>-1.1675368898020765E-3</c:v>
                </c:pt>
                <c:pt idx="407">
                  <c:v>-1.5668780048723397E-2</c:v>
                </c:pt>
                <c:pt idx="408">
                  <c:v>4.0850768562073585E-3</c:v>
                </c:pt>
                <c:pt idx="409">
                  <c:v>1.5902006662876146E-2</c:v>
                </c:pt>
                <c:pt idx="410">
                  <c:v>1.0920441950935554E-2</c:v>
                </c:pt>
                <c:pt idx="411">
                  <c:v>2.6160955405564165E-2</c:v>
                </c:pt>
                <c:pt idx="412">
                  <c:v>-1.2230786730856875E-2</c:v>
                </c:pt>
                <c:pt idx="413">
                  <c:v>-1.726355151507656E-2</c:v>
                </c:pt>
                <c:pt idx="414">
                  <c:v>-1.7838796341579769E-3</c:v>
                </c:pt>
                <c:pt idx="415">
                  <c:v>-6.2471519447201626E-3</c:v>
                </c:pt>
                <c:pt idx="416">
                  <c:v>8.2187466040092565E-3</c:v>
                </c:pt>
                <c:pt idx="417">
                  <c:v>5.454568333355319E-2</c:v>
                </c:pt>
                <c:pt idx="418">
                  <c:v>-9.8139710615030469E-3</c:v>
                </c:pt>
                <c:pt idx="419">
                  <c:v>-2.0376580693425912E-2</c:v>
                </c:pt>
                <c:pt idx="420">
                  <c:v>-1.5837230625013451E-2</c:v>
                </c:pt>
                <c:pt idx="421">
                  <c:v>-6.1078429328145691E-3</c:v>
                </c:pt>
                <c:pt idx="422">
                  <c:v>2.4610613926752754E-2</c:v>
                </c:pt>
                <c:pt idx="423">
                  <c:v>-1.4995800105460167E-3</c:v>
                </c:pt>
                <c:pt idx="424">
                  <c:v>-2.5379266837849412E-4</c:v>
                </c:pt>
                <c:pt idx="425">
                  <c:v>6.0699071816737908E-3</c:v>
                </c:pt>
                <c:pt idx="426">
                  <c:v>-1.2181744069393017E-2</c:v>
                </c:pt>
                <c:pt idx="427">
                  <c:v>2.8735513082228923E-3</c:v>
                </c:pt>
                <c:pt idx="428">
                  <c:v>2.3987947446567305E-3</c:v>
                </c:pt>
                <c:pt idx="429">
                  <c:v>2.7558283792563274E-3</c:v>
                </c:pt>
                <c:pt idx="430">
                  <c:v>-1.5063561718203864E-2</c:v>
                </c:pt>
                <c:pt idx="431">
                  <c:v>5.4222210920717145E-3</c:v>
                </c:pt>
                <c:pt idx="432">
                  <c:v>3.2233062089342514E-3</c:v>
                </c:pt>
                <c:pt idx="433">
                  <c:v>7.7388507524889507E-3</c:v>
                </c:pt>
                <c:pt idx="434">
                  <c:v>8.3037317206232607E-3</c:v>
                </c:pt>
                <c:pt idx="435">
                  <c:v>-1.2766392937494936E-2</c:v>
                </c:pt>
                <c:pt idx="436">
                  <c:v>-5.3010389968622751E-3</c:v>
                </c:pt>
                <c:pt idx="437">
                  <c:v>3.6576360178420539E-3</c:v>
                </c:pt>
                <c:pt idx="438">
                  <c:v>-1.0874910019273137E-2</c:v>
                </c:pt>
                <c:pt idx="439">
                  <c:v>-1.5119523622264658E-3</c:v>
                </c:pt>
                <c:pt idx="440">
                  <c:v>3.6130157904574541E-3</c:v>
                </c:pt>
                <c:pt idx="441">
                  <c:v>1.7329085428718499E-2</c:v>
                </c:pt>
                <c:pt idx="442">
                  <c:v>-2.4567066718820498E-2</c:v>
                </c:pt>
                <c:pt idx="443">
                  <c:v>-2.6300573784622298E-2</c:v>
                </c:pt>
                <c:pt idx="444">
                  <c:v>1.8342663748928519E-2</c:v>
                </c:pt>
                <c:pt idx="445">
                  <c:v>-4.8127536048363506E-2</c:v>
                </c:pt>
                <c:pt idx="446">
                  <c:v>3.7465285813995611E-3</c:v>
                </c:pt>
                <c:pt idx="447">
                  <c:v>-7.5561686308127148E-3</c:v>
                </c:pt>
                <c:pt idx="448">
                  <c:v>1.0236085687986422E-2</c:v>
                </c:pt>
                <c:pt idx="449">
                  <c:v>-1.3339710044418892E-2</c:v>
                </c:pt>
                <c:pt idx="450">
                  <c:v>3.3821990163496679E-3</c:v>
                </c:pt>
                <c:pt idx="451">
                  <c:v>-1.5733587802731482E-2</c:v>
                </c:pt>
                <c:pt idx="452">
                  <c:v>-8.49012874581894E-4</c:v>
                </c:pt>
                <c:pt idx="453">
                  <c:v>1.4432815694336621E-2</c:v>
                </c:pt>
                <c:pt idx="454">
                  <c:v>-6.1456902139760128E-5</c:v>
                </c:pt>
                <c:pt idx="455">
                  <c:v>-1.4001956547571113E-2</c:v>
                </c:pt>
                <c:pt idx="456">
                  <c:v>-7.4571318066144129E-3</c:v>
                </c:pt>
                <c:pt idx="457">
                  <c:v>-2.3350690916984934E-3</c:v>
                </c:pt>
                <c:pt idx="458">
                  <c:v>2.6381217231020411E-3</c:v>
                </c:pt>
                <c:pt idx="459">
                  <c:v>2.0792283794979819E-3</c:v>
                </c:pt>
                <c:pt idx="460">
                  <c:v>-6.1739482120403135E-3</c:v>
                </c:pt>
                <c:pt idx="461">
                  <c:v>-1.5110785318460038E-4</c:v>
                </c:pt>
                <c:pt idx="462">
                  <c:v>9.9399960372611607E-3</c:v>
                </c:pt>
                <c:pt idx="463">
                  <c:v>2.4085423559493217E-3</c:v>
                </c:pt>
                <c:pt idx="464">
                  <c:v>-2.5738390394721795E-3</c:v>
                </c:pt>
                <c:pt idx="465">
                  <c:v>1.4553684114284631E-2</c:v>
                </c:pt>
                <c:pt idx="466">
                  <c:v>4.2386811499659748E-3</c:v>
                </c:pt>
                <c:pt idx="467">
                  <c:v>-3.2356815561243812E-3</c:v>
                </c:pt>
                <c:pt idx="468">
                  <c:v>-5.3434800019788722E-3</c:v>
                </c:pt>
                <c:pt idx="469">
                  <c:v>-1.3873384772173789E-2</c:v>
                </c:pt>
                <c:pt idx="470">
                  <c:v>-2.7562142081387934E-3</c:v>
                </c:pt>
                <c:pt idx="471">
                  <c:v>9.8170578160573785E-3</c:v>
                </c:pt>
                <c:pt idx="472">
                  <c:v>2.2882972940315447E-3</c:v>
                </c:pt>
                <c:pt idx="473">
                  <c:v>-1.4939720933563943E-2</c:v>
                </c:pt>
                <c:pt idx="474">
                  <c:v>-3.4042517863508075E-3</c:v>
                </c:pt>
                <c:pt idx="475">
                  <c:v>2.0857282016209233E-3</c:v>
                </c:pt>
                <c:pt idx="476">
                  <c:v>2.011388997933386E-2</c:v>
                </c:pt>
                <c:pt idx="477">
                  <c:v>-7.4375428719755431E-3</c:v>
                </c:pt>
                <c:pt idx="478">
                  <c:v>3.5101710121684037E-4</c:v>
                </c:pt>
                <c:pt idx="479">
                  <c:v>6.353593899519434E-4</c:v>
                </c:pt>
                <c:pt idx="480">
                  <c:v>-1.1517397259983679E-2</c:v>
                </c:pt>
                <c:pt idx="481">
                  <c:v>-4.6884246904096687E-3</c:v>
                </c:pt>
                <c:pt idx="482">
                  <c:v>-1.0930503733906728E-2</c:v>
                </c:pt>
                <c:pt idx="483">
                  <c:v>1.1314160042529928E-2</c:v>
                </c:pt>
                <c:pt idx="484">
                  <c:v>1.8370068035580292E-2</c:v>
                </c:pt>
                <c:pt idx="485">
                  <c:v>-1.6176246778331606E-2</c:v>
                </c:pt>
                <c:pt idx="486">
                  <c:v>2.0482032403985276E-4</c:v>
                </c:pt>
                <c:pt idx="487">
                  <c:v>4.4626825358911682E-3</c:v>
                </c:pt>
                <c:pt idx="488">
                  <c:v>3.982279548104789E-3</c:v>
                </c:pt>
                <c:pt idx="489">
                  <c:v>-7.9042303351570184E-3</c:v>
                </c:pt>
                <c:pt idx="490">
                  <c:v>-8.235496424000093E-4</c:v>
                </c:pt>
                <c:pt idx="491">
                  <c:v>2.5498175366861059E-3</c:v>
                </c:pt>
                <c:pt idx="492">
                  <c:v>-4.7026312748352653E-3</c:v>
                </c:pt>
                <c:pt idx="493">
                  <c:v>1.5678845282780934E-2</c:v>
                </c:pt>
                <c:pt idx="494">
                  <c:v>1.7847038056778515E-2</c:v>
                </c:pt>
                <c:pt idx="495">
                  <c:v>-3.5270455945598427E-3</c:v>
                </c:pt>
                <c:pt idx="496">
                  <c:v>1.9956230434222933E-3</c:v>
                </c:pt>
                <c:pt idx="497">
                  <c:v>-1.4456720945363141E-2</c:v>
                </c:pt>
                <c:pt idx="498">
                  <c:v>1.68452503675505E-3</c:v>
                </c:pt>
                <c:pt idx="499">
                  <c:v>5.2643662519497843E-3</c:v>
                </c:pt>
                <c:pt idx="500">
                  <c:v>2.7194968621603366E-2</c:v>
                </c:pt>
                <c:pt idx="501">
                  <c:v>-7.4809456863231955E-3</c:v>
                </c:pt>
                <c:pt idx="502">
                  <c:v>-1.2624090667604122E-3</c:v>
                </c:pt>
                <c:pt idx="503">
                  <c:v>-5.0672887640803221E-3</c:v>
                </c:pt>
                <c:pt idx="504">
                  <c:v>1.6607185185042853E-2</c:v>
                </c:pt>
                <c:pt idx="505">
                  <c:v>-1.7945668752343102E-2</c:v>
                </c:pt>
                <c:pt idx="506">
                  <c:v>-1.8925572223280018E-2</c:v>
                </c:pt>
                <c:pt idx="507">
                  <c:v>-3.6386522418843693E-2</c:v>
                </c:pt>
                <c:pt idx="508">
                  <c:v>-1.3605459875111426E-2</c:v>
                </c:pt>
                <c:pt idx="509">
                  <c:v>-8.2087028207395683E-3</c:v>
                </c:pt>
                <c:pt idx="510">
                  <c:v>7.4700467122254619E-3</c:v>
                </c:pt>
                <c:pt idx="511">
                  <c:v>-9.8709869406339891E-3</c:v>
                </c:pt>
                <c:pt idx="512">
                  <c:v>-7.8854930868686481E-3</c:v>
                </c:pt>
                <c:pt idx="513">
                  <c:v>1.882582320297153E-2</c:v>
                </c:pt>
                <c:pt idx="514">
                  <c:v>1.4684303252585327E-2</c:v>
                </c:pt>
                <c:pt idx="515">
                  <c:v>1.5784969916148627E-3</c:v>
                </c:pt>
                <c:pt idx="516">
                  <c:v>-1.7359690436933731E-3</c:v>
                </c:pt>
                <c:pt idx="517">
                  <c:v>4.5521780992092559E-3</c:v>
                </c:pt>
                <c:pt idx="518">
                  <c:v>5.7802435026427764E-3</c:v>
                </c:pt>
                <c:pt idx="519">
                  <c:v>-4.2131410049499477E-3</c:v>
                </c:pt>
                <c:pt idx="520">
                  <c:v>-4.549285300922805E-3</c:v>
                </c:pt>
                <c:pt idx="521">
                  <c:v>1.7548102590923244E-2</c:v>
                </c:pt>
                <c:pt idx="522">
                  <c:v>9.7570609465181535E-3</c:v>
                </c:pt>
                <c:pt idx="523">
                  <c:v>-2.6718117195617471E-3</c:v>
                </c:pt>
                <c:pt idx="524">
                  <c:v>8.7095458339834855E-3</c:v>
                </c:pt>
                <c:pt idx="525">
                  <c:v>5.2315073701878698E-3</c:v>
                </c:pt>
                <c:pt idx="526">
                  <c:v>-1.3588226328433589E-2</c:v>
                </c:pt>
                <c:pt idx="527">
                  <c:v>1.8828227955806333E-2</c:v>
                </c:pt>
                <c:pt idx="528">
                  <c:v>6.3400139266350797E-3</c:v>
                </c:pt>
                <c:pt idx="529">
                  <c:v>-1.6786795856499443E-3</c:v>
                </c:pt>
                <c:pt idx="530">
                  <c:v>-8.3122567772884667E-4</c:v>
                </c:pt>
                <c:pt idx="531">
                  <c:v>2.8909257056210651E-2</c:v>
                </c:pt>
                <c:pt idx="532">
                  <c:v>5.2740664830427907E-2</c:v>
                </c:pt>
                <c:pt idx="533">
                  <c:v>-3.185536839760362E-3</c:v>
                </c:pt>
                <c:pt idx="534">
                  <c:v>-2.2763888656944821E-2</c:v>
                </c:pt>
                <c:pt idx="535">
                  <c:v>2.2890592853914597E-2</c:v>
                </c:pt>
                <c:pt idx="536">
                  <c:v>-7.3334909279252321E-3</c:v>
                </c:pt>
                <c:pt idx="537">
                  <c:v>-1.8723929053709051E-2</c:v>
                </c:pt>
                <c:pt idx="538">
                  <c:v>1.5976370991253833E-2</c:v>
                </c:pt>
                <c:pt idx="539">
                  <c:v>4.8704287154790861E-3</c:v>
                </c:pt>
                <c:pt idx="540">
                  <c:v>-2.6459381393307349E-2</c:v>
                </c:pt>
                <c:pt idx="541">
                  <c:v>-7.1992485679786347E-3</c:v>
                </c:pt>
                <c:pt idx="542">
                  <c:v>2.3808951272882767E-2</c:v>
                </c:pt>
                <c:pt idx="543">
                  <c:v>-1.8726969061443291E-2</c:v>
                </c:pt>
                <c:pt idx="544">
                  <c:v>1.1803058471362114E-2</c:v>
                </c:pt>
                <c:pt idx="545">
                  <c:v>-2.1460642411551153E-2</c:v>
                </c:pt>
                <c:pt idx="546">
                  <c:v>1.8230049814191086E-3</c:v>
                </c:pt>
                <c:pt idx="547">
                  <c:v>1.0155774238317173E-2</c:v>
                </c:pt>
                <c:pt idx="548">
                  <c:v>-1.370813690728636E-2</c:v>
                </c:pt>
                <c:pt idx="549">
                  <c:v>1.5501391525513945E-2</c:v>
                </c:pt>
                <c:pt idx="550">
                  <c:v>-3.6818310961589788E-3</c:v>
                </c:pt>
                <c:pt idx="551">
                  <c:v>1.073482543960565E-2</c:v>
                </c:pt>
                <c:pt idx="552">
                  <c:v>-5.1083625031291546E-3</c:v>
                </c:pt>
                <c:pt idx="553">
                  <c:v>1.9775614678575894E-2</c:v>
                </c:pt>
                <c:pt idx="554">
                  <c:v>4.6473056549820287E-3</c:v>
                </c:pt>
                <c:pt idx="555">
                  <c:v>-1.0460372093464461E-2</c:v>
                </c:pt>
                <c:pt idx="556">
                  <c:v>7.2774817732115318E-3</c:v>
                </c:pt>
                <c:pt idx="557">
                  <c:v>-1.8169905270602502E-2</c:v>
                </c:pt>
                <c:pt idx="558">
                  <c:v>-1.0742631336805322E-2</c:v>
                </c:pt>
                <c:pt idx="559">
                  <c:v>-1.1407077472833614E-2</c:v>
                </c:pt>
                <c:pt idx="560">
                  <c:v>1.3953007670092395E-2</c:v>
                </c:pt>
                <c:pt idx="561">
                  <c:v>2.2393995226974413E-3</c:v>
                </c:pt>
                <c:pt idx="562">
                  <c:v>-8.9174268808112425E-3</c:v>
                </c:pt>
                <c:pt idx="563">
                  <c:v>1.2999269048991811E-2</c:v>
                </c:pt>
                <c:pt idx="564">
                  <c:v>-1.532259845720297E-5</c:v>
                </c:pt>
                <c:pt idx="565">
                  <c:v>2.6010514050068261E-2</c:v>
                </c:pt>
                <c:pt idx="566">
                  <c:v>-3.0152796982423962E-3</c:v>
                </c:pt>
                <c:pt idx="567">
                  <c:v>1.1713622036840357E-2</c:v>
                </c:pt>
                <c:pt idx="568">
                  <c:v>-1.063078945059379E-2</c:v>
                </c:pt>
                <c:pt idx="569">
                  <c:v>5.5860747871339662E-2</c:v>
                </c:pt>
                <c:pt idx="570">
                  <c:v>-5.0484855289501702E-3</c:v>
                </c:pt>
                <c:pt idx="571">
                  <c:v>1.3055965629887024E-2</c:v>
                </c:pt>
                <c:pt idx="572">
                  <c:v>6.0030026639439071E-4</c:v>
                </c:pt>
                <c:pt idx="573">
                  <c:v>3.2138362858880015E-3</c:v>
                </c:pt>
                <c:pt idx="574">
                  <c:v>7.9969683117643107E-3</c:v>
                </c:pt>
                <c:pt idx="575">
                  <c:v>3.2899955888805749E-3</c:v>
                </c:pt>
                <c:pt idx="576">
                  <c:v>1.0748192098074368E-2</c:v>
                </c:pt>
                <c:pt idx="577">
                  <c:v>1.2586996829219415E-3</c:v>
                </c:pt>
                <c:pt idx="578">
                  <c:v>4.3634221044404498E-3</c:v>
                </c:pt>
                <c:pt idx="579">
                  <c:v>7.4583037512836563E-3</c:v>
                </c:pt>
                <c:pt idx="580">
                  <c:v>1.162684275782928E-2</c:v>
                </c:pt>
                <c:pt idx="581">
                  <c:v>1.4950247457170291E-2</c:v>
                </c:pt>
                <c:pt idx="582">
                  <c:v>6.3111072735562391E-3</c:v>
                </c:pt>
                <c:pt idx="583">
                  <c:v>1.7973065759827177E-2</c:v>
                </c:pt>
                <c:pt idx="584">
                  <c:v>2.7065467556300182E-2</c:v>
                </c:pt>
                <c:pt idx="585">
                  <c:v>-1.5260312201147576E-2</c:v>
                </c:pt>
                <c:pt idx="586">
                  <c:v>-6.5346302256537332E-3</c:v>
                </c:pt>
                <c:pt idx="587">
                  <c:v>1.9473578972359053E-2</c:v>
                </c:pt>
                <c:pt idx="588">
                  <c:v>-6.612815569885203E-4</c:v>
                </c:pt>
                <c:pt idx="589">
                  <c:v>5.2098110593219856E-4</c:v>
                </c:pt>
                <c:pt idx="590">
                  <c:v>1.0117754418207107E-2</c:v>
                </c:pt>
                <c:pt idx="591">
                  <c:v>-1.0275485011624863E-2</c:v>
                </c:pt>
                <c:pt idx="592">
                  <c:v>2.6859168333049525E-2</c:v>
                </c:pt>
                <c:pt idx="593">
                  <c:v>-3.9627769247213077E-2</c:v>
                </c:pt>
                <c:pt idx="594">
                  <c:v>-1.147764295283539E-2</c:v>
                </c:pt>
                <c:pt idx="595">
                  <c:v>-1.4604853685718145E-2</c:v>
                </c:pt>
                <c:pt idx="596">
                  <c:v>1.9251363291217582E-2</c:v>
                </c:pt>
                <c:pt idx="597">
                  <c:v>-7.2875731359600907E-3</c:v>
                </c:pt>
                <c:pt idx="598">
                  <c:v>1.6910871335522469E-3</c:v>
                </c:pt>
                <c:pt idx="599">
                  <c:v>-1.3241196040542884E-2</c:v>
                </c:pt>
                <c:pt idx="600">
                  <c:v>-3.4537965946319178E-3</c:v>
                </c:pt>
                <c:pt idx="601">
                  <c:v>1.8933775527513394E-3</c:v>
                </c:pt>
                <c:pt idx="602">
                  <c:v>-1.7606910499328187E-3</c:v>
                </c:pt>
                <c:pt idx="603">
                  <c:v>-9.2734412624758105E-3</c:v>
                </c:pt>
                <c:pt idx="604">
                  <c:v>-5.6391031474439879E-3</c:v>
                </c:pt>
                <c:pt idx="605">
                  <c:v>-3.2513774190587037E-4</c:v>
                </c:pt>
                <c:pt idx="606">
                  <c:v>3.9811653481047218E-2</c:v>
                </c:pt>
                <c:pt idx="607">
                  <c:v>1.1818835690527734E-2</c:v>
                </c:pt>
                <c:pt idx="608">
                  <c:v>-3.4591049627000973E-3</c:v>
                </c:pt>
                <c:pt idx="609">
                  <c:v>-4.1161628252398249E-3</c:v>
                </c:pt>
                <c:pt idx="610">
                  <c:v>-3.9863081610198331E-2</c:v>
                </c:pt>
                <c:pt idx="611">
                  <c:v>-1.5489759610530236E-2</c:v>
                </c:pt>
                <c:pt idx="612">
                  <c:v>-3.4794799201939039E-3</c:v>
                </c:pt>
                <c:pt idx="613">
                  <c:v>-4.6032718914922688E-3</c:v>
                </c:pt>
                <c:pt idx="614">
                  <c:v>3.0105337878833075E-2</c:v>
                </c:pt>
                <c:pt idx="615">
                  <c:v>1.3469689387958211E-3</c:v>
                </c:pt>
                <c:pt idx="616">
                  <c:v>5.0578315470539764E-3</c:v>
                </c:pt>
                <c:pt idx="617">
                  <c:v>-3.9616393033012559E-3</c:v>
                </c:pt>
                <c:pt idx="618">
                  <c:v>1.4813341551985802E-2</c:v>
                </c:pt>
                <c:pt idx="619">
                  <c:v>7.6359632228105677E-3</c:v>
                </c:pt>
                <c:pt idx="620">
                  <c:v>-4.7620846204443476E-3</c:v>
                </c:pt>
                <c:pt idx="621">
                  <c:v>-1.1986077438159921E-2</c:v>
                </c:pt>
                <c:pt idx="622">
                  <c:v>-1.1539032250480693E-2</c:v>
                </c:pt>
                <c:pt idx="623">
                  <c:v>-9.5631297440151725E-3</c:v>
                </c:pt>
                <c:pt idx="624">
                  <c:v>-1.2749573144688397E-2</c:v>
                </c:pt>
                <c:pt idx="625">
                  <c:v>-4.2376534214904372E-2</c:v>
                </c:pt>
                <c:pt idx="626">
                  <c:v>6.5528478126843526E-4</c:v>
                </c:pt>
                <c:pt idx="627">
                  <c:v>-2.8944347836399667E-3</c:v>
                </c:pt>
                <c:pt idx="628">
                  <c:v>1.8708917732015804E-2</c:v>
                </c:pt>
                <c:pt idx="629">
                  <c:v>1.966224715221742E-2</c:v>
                </c:pt>
                <c:pt idx="630">
                  <c:v>-7.0407877834040298E-3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63008"/>
        <c:axId val="216364928"/>
      </c:scatterChart>
      <c:valAx>
        <c:axId val="216363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16364928"/>
        <c:crosses val="autoZero"/>
        <c:crossBetween val="midCat"/>
      </c:valAx>
      <c:valAx>
        <c:axId val="216364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3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 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'Beta 2'!$D$7:$D$637</c:f>
              <c:numCache>
                <c:formatCode>0.00%</c:formatCode>
                <c:ptCount val="631"/>
                <c:pt idx="0">
                  <c:v>1.0186874220935935E-2</c:v>
                </c:pt>
                <c:pt idx="1">
                  <c:v>6.7395852346920151E-3</c:v>
                </c:pt>
                <c:pt idx="2">
                  <c:v>-1.0005417441876725E-2</c:v>
                </c:pt>
                <c:pt idx="3">
                  <c:v>3.7641836440080946E-3</c:v>
                </c:pt>
                <c:pt idx="4">
                  <c:v>1.0700318893651863E-2</c:v>
                </c:pt>
                <c:pt idx="5">
                  <c:v>2.9133112665290341E-3</c:v>
                </c:pt>
                <c:pt idx="6">
                  <c:v>8.6731157110616162E-3</c:v>
                </c:pt>
                <c:pt idx="7">
                  <c:v>2.4956237375072317E-3</c:v>
                </c:pt>
                <c:pt idx="8">
                  <c:v>-1.1232355005953847E-4</c:v>
                </c:pt>
                <c:pt idx="9">
                  <c:v>2.8675682456212855E-3</c:v>
                </c:pt>
                <c:pt idx="10">
                  <c:v>-1.0653690561313956E-2</c:v>
                </c:pt>
                <c:pt idx="11">
                  <c:v>-9.6422403995689715E-3</c:v>
                </c:pt>
                <c:pt idx="12">
                  <c:v>-1.0112406181490457E-2</c:v>
                </c:pt>
                <c:pt idx="13">
                  <c:v>-7.8757452835501937E-3</c:v>
                </c:pt>
                <c:pt idx="14">
                  <c:v>-2.6567905229389972E-2</c:v>
                </c:pt>
                <c:pt idx="15">
                  <c:v>7.5134912583035007E-3</c:v>
                </c:pt>
                <c:pt idx="16">
                  <c:v>-9.7117329072524492E-3</c:v>
                </c:pt>
                <c:pt idx="17">
                  <c:v>-4.7931618440448059E-4</c:v>
                </c:pt>
                <c:pt idx="18">
                  <c:v>1.3910717834181083E-2</c:v>
                </c:pt>
                <c:pt idx="19">
                  <c:v>1.3667938612165849E-2</c:v>
                </c:pt>
                <c:pt idx="20">
                  <c:v>1.1557838606981006E-2</c:v>
                </c:pt>
                <c:pt idx="21">
                  <c:v>-1.2362248650168826E-2</c:v>
                </c:pt>
                <c:pt idx="22">
                  <c:v>-2.4998826865528247E-3</c:v>
                </c:pt>
                <c:pt idx="23">
                  <c:v>-1.7281112935006348E-2</c:v>
                </c:pt>
                <c:pt idx="24">
                  <c:v>3.0876976464707553E-3</c:v>
                </c:pt>
                <c:pt idx="25">
                  <c:v>1.1412152315867301E-2</c:v>
                </c:pt>
                <c:pt idx="26">
                  <c:v>8.1339010780827944E-3</c:v>
                </c:pt>
                <c:pt idx="27">
                  <c:v>-1.3126296891793515E-2</c:v>
                </c:pt>
                <c:pt idx="28">
                  <c:v>-3.0616222909682054E-2</c:v>
                </c:pt>
                <c:pt idx="29">
                  <c:v>3.025912641411278E-2</c:v>
                </c:pt>
                <c:pt idx="30">
                  <c:v>-1.7432697608403243E-3</c:v>
                </c:pt>
                <c:pt idx="31">
                  <c:v>-1.01601475525655E-3</c:v>
                </c:pt>
                <c:pt idx="32">
                  <c:v>-1.6353356124623089E-3</c:v>
                </c:pt>
                <c:pt idx="33">
                  <c:v>-4.0315569219888841E-3</c:v>
                </c:pt>
                <c:pt idx="34">
                  <c:v>-6.6515660747001083E-3</c:v>
                </c:pt>
                <c:pt idx="35">
                  <c:v>-1.6937094301953718E-3</c:v>
                </c:pt>
                <c:pt idx="36">
                  <c:v>-4.778103848915069E-2</c:v>
                </c:pt>
                <c:pt idx="37">
                  <c:v>2.5261660152448528E-2</c:v>
                </c:pt>
                <c:pt idx="38">
                  <c:v>8.1340342901834867E-3</c:v>
                </c:pt>
                <c:pt idx="39">
                  <c:v>-1.119163313012894E-2</c:v>
                </c:pt>
                <c:pt idx="40">
                  <c:v>-6.4975772584287186E-3</c:v>
                </c:pt>
                <c:pt idx="41">
                  <c:v>-1.5317032015141119E-2</c:v>
                </c:pt>
                <c:pt idx="42">
                  <c:v>-2.3526684694323931E-2</c:v>
                </c:pt>
                <c:pt idx="43">
                  <c:v>9.4747764659202389E-3</c:v>
                </c:pt>
                <c:pt idx="44">
                  <c:v>2.0726290084795894E-2</c:v>
                </c:pt>
                <c:pt idx="45">
                  <c:v>1.526738723670933E-2</c:v>
                </c:pt>
                <c:pt idx="46">
                  <c:v>2.142153743765671E-3</c:v>
                </c:pt>
                <c:pt idx="47">
                  <c:v>1.4482565012425206E-2</c:v>
                </c:pt>
                <c:pt idx="48">
                  <c:v>-1.2346456488677174E-2</c:v>
                </c:pt>
                <c:pt idx="49">
                  <c:v>1.8745100462101708E-2</c:v>
                </c:pt>
                <c:pt idx="50">
                  <c:v>1.8361988364277521E-2</c:v>
                </c:pt>
                <c:pt idx="51">
                  <c:v>-9.8022024778363463E-3</c:v>
                </c:pt>
                <c:pt idx="52">
                  <c:v>1.1561223274316348E-2</c:v>
                </c:pt>
                <c:pt idx="53">
                  <c:v>-4.0339354335711232E-3</c:v>
                </c:pt>
                <c:pt idx="54">
                  <c:v>-1.3278937286094041E-3</c:v>
                </c:pt>
                <c:pt idx="55">
                  <c:v>-4.0498758909001172E-3</c:v>
                </c:pt>
                <c:pt idx="56">
                  <c:v>4.022619949862998E-3</c:v>
                </c:pt>
                <c:pt idx="57">
                  <c:v>5.9981872604808811E-3</c:v>
                </c:pt>
                <c:pt idx="58">
                  <c:v>9.9824655967684604E-3</c:v>
                </c:pt>
                <c:pt idx="59">
                  <c:v>-1.9144771620019144E-3</c:v>
                </c:pt>
                <c:pt idx="60">
                  <c:v>1.1777965272906756E-2</c:v>
                </c:pt>
                <c:pt idx="61">
                  <c:v>2.1671841346751729E-2</c:v>
                </c:pt>
                <c:pt idx="62">
                  <c:v>-5.3175577963616221E-3</c:v>
                </c:pt>
                <c:pt idx="63">
                  <c:v>-8.3391803233976245E-3</c:v>
                </c:pt>
                <c:pt idx="64">
                  <c:v>-9.4397411398504973E-3</c:v>
                </c:pt>
                <c:pt idx="65">
                  <c:v>8.2087593838254345E-3</c:v>
                </c:pt>
                <c:pt idx="66">
                  <c:v>-6.1514979408996227E-3</c:v>
                </c:pt>
                <c:pt idx="67">
                  <c:v>-8.1838106694249596E-3</c:v>
                </c:pt>
                <c:pt idx="68">
                  <c:v>-3.1174815927422455E-3</c:v>
                </c:pt>
                <c:pt idx="69">
                  <c:v>-1.7281188009776776E-2</c:v>
                </c:pt>
                <c:pt idx="70">
                  <c:v>-1.2519178806194436E-2</c:v>
                </c:pt>
                <c:pt idx="71">
                  <c:v>1.0490244559461803E-2</c:v>
                </c:pt>
                <c:pt idx="72">
                  <c:v>1.494167824506965E-2</c:v>
                </c:pt>
                <c:pt idx="73">
                  <c:v>-1.2686452569506885E-2</c:v>
                </c:pt>
                <c:pt idx="74">
                  <c:v>-1.2695122564117107E-2</c:v>
                </c:pt>
                <c:pt idx="75">
                  <c:v>1.4560121586500989E-2</c:v>
                </c:pt>
                <c:pt idx="76">
                  <c:v>-9.4414435739172062E-3</c:v>
                </c:pt>
                <c:pt idx="77">
                  <c:v>1.2128508853986029E-2</c:v>
                </c:pt>
                <c:pt idx="78">
                  <c:v>-8.2632403818144479E-3</c:v>
                </c:pt>
                <c:pt idx="79">
                  <c:v>-1.9559171277049136E-3</c:v>
                </c:pt>
                <c:pt idx="80">
                  <c:v>-2.293618345244024E-2</c:v>
                </c:pt>
                <c:pt idx="81">
                  <c:v>3.0284825864705374E-4</c:v>
                </c:pt>
                <c:pt idx="82">
                  <c:v>-1.6268421661968954E-2</c:v>
                </c:pt>
                <c:pt idx="83">
                  <c:v>-6.6661827100311811E-3</c:v>
                </c:pt>
                <c:pt idx="84">
                  <c:v>-3.7909688460063757E-3</c:v>
                </c:pt>
                <c:pt idx="85">
                  <c:v>-4.4919933667654033E-3</c:v>
                </c:pt>
                <c:pt idx="86">
                  <c:v>-2.2211752119105827E-2</c:v>
                </c:pt>
                <c:pt idx="87">
                  <c:v>-1.6352232413968106E-3</c:v>
                </c:pt>
                <c:pt idx="88">
                  <c:v>3.8112305680664672E-3</c:v>
                </c:pt>
                <c:pt idx="89">
                  <c:v>2.6321935901528027E-2</c:v>
                </c:pt>
                <c:pt idx="90">
                  <c:v>-1.1685620062284103E-3</c:v>
                </c:pt>
                <c:pt idx="91">
                  <c:v>-2.6532725329820431E-2</c:v>
                </c:pt>
                <c:pt idx="92">
                  <c:v>2.8891038793604048E-2</c:v>
                </c:pt>
                <c:pt idx="93">
                  <c:v>-3.1630222740635042E-3</c:v>
                </c:pt>
                <c:pt idx="94">
                  <c:v>-5.5227542244422126E-3</c:v>
                </c:pt>
                <c:pt idx="95">
                  <c:v>-6.1612191880982166E-3</c:v>
                </c:pt>
                <c:pt idx="96">
                  <c:v>9.0073873227195633E-3</c:v>
                </c:pt>
                <c:pt idx="97">
                  <c:v>1.1273847156144254E-2</c:v>
                </c:pt>
                <c:pt idx="98">
                  <c:v>1.8893205135366554E-2</c:v>
                </c:pt>
                <c:pt idx="99">
                  <c:v>-4.6124340209427652E-3</c:v>
                </c:pt>
                <c:pt idx="100">
                  <c:v>-3.726406691147972E-3</c:v>
                </c:pt>
                <c:pt idx="101">
                  <c:v>6.3700049931155528E-3</c:v>
                </c:pt>
                <c:pt idx="102">
                  <c:v>-2.628050216502181E-3</c:v>
                </c:pt>
                <c:pt idx="103">
                  <c:v>-8.8939535014334224E-4</c:v>
                </c:pt>
                <c:pt idx="104">
                  <c:v>-9.2459460141595343E-3</c:v>
                </c:pt>
                <c:pt idx="105">
                  <c:v>-3.6609605930329439E-3</c:v>
                </c:pt>
                <c:pt idx="106">
                  <c:v>7.4497277187619889E-3</c:v>
                </c:pt>
                <c:pt idx="107">
                  <c:v>-1.6767698372759619E-2</c:v>
                </c:pt>
                <c:pt idx="108">
                  <c:v>-2.637974911084277E-2</c:v>
                </c:pt>
                <c:pt idx="109">
                  <c:v>-2.6816095034669541E-3</c:v>
                </c:pt>
                <c:pt idx="110">
                  <c:v>-2.5393443337434415E-3</c:v>
                </c:pt>
                <c:pt idx="111">
                  <c:v>-2.1128447901579792E-2</c:v>
                </c:pt>
                <c:pt idx="112">
                  <c:v>-4.3682936023334753E-3</c:v>
                </c:pt>
                <c:pt idx="113">
                  <c:v>3.7042136201653787E-3</c:v>
                </c:pt>
                <c:pt idx="114">
                  <c:v>1.8804337849956207E-2</c:v>
                </c:pt>
                <c:pt idx="115">
                  <c:v>-1.441926508502933E-2</c:v>
                </c:pt>
                <c:pt idx="116">
                  <c:v>9.3004475234755649E-3</c:v>
                </c:pt>
                <c:pt idx="117">
                  <c:v>9.1664725642030907E-3</c:v>
                </c:pt>
                <c:pt idx="118">
                  <c:v>8.4589903976304958E-3</c:v>
                </c:pt>
                <c:pt idx="119">
                  <c:v>1.1464333566122758E-3</c:v>
                </c:pt>
                <c:pt idx="120">
                  <c:v>-3.2239710143294287E-3</c:v>
                </c:pt>
                <c:pt idx="121">
                  <c:v>-1.1930812176956622E-3</c:v>
                </c:pt>
                <c:pt idx="122">
                  <c:v>-1.7870562887152891E-3</c:v>
                </c:pt>
                <c:pt idx="123">
                  <c:v>5.2881882060555243E-3</c:v>
                </c:pt>
                <c:pt idx="124">
                  <c:v>-1.5471713984814997E-3</c:v>
                </c:pt>
                <c:pt idx="125">
                  <c:v>1.131818975105146E-2</c:v>
                </c:pt>
                <c:pt idx="126">
                  <c:v>8.9494920352443177E-3</c:v>
                </c:pt>
                <c:pt idx="127">
                  <c:v>5.4360478199522019E-3</c:v>
                </c:pt>
                <c:pt idx="128">
                  <c:v>-2.8356590452110596E-4</c:v>
                </c:pt>
                <c:pt idx="129">
                  <c:v>-9.7249750246669615E-3</c:v>
                </c:pt>
                <c:pt idx="130">
                  <c:v>-5.7072924975198726E-3</c:v>
                </c:pt>
                <c:pt idx="131">
                  <c:v>-1.7536552322698128E-3</c:v>
                </c:pt>
                <c:pt idx="132">
                  <c:v>6.9359576430902733E-3</c:v>
                </c:pt>
                <c:pt idx="133">
                  <c:v>1.4287304178026086E-2</c:v>
                </c:pt>
                <c:pt idx="134">
                  <c:v>3.8117642903216244E-3</c:v>
                </c:pt>
                <c:pt idx="135">
                  <c:v>1.1033888464684999E-2</c:v>
                </c:pt>
                <c:pt idx="136">
                  <c:v>5.1087197691104657E-3</c:v>
                </c:pt>
                <c:pt idx="137">
                  <c:v>6.8772959756702411E-3</c:v>
                </c:pt>
                <c:pt idx="138">
                  <c:v>-5.2901993266311958E-3</c:v>
                </c:pt>
                <c:pt idx="139">
                  <c:v>-8.8479580903132234E-3</c:v>
                </c:pt>
                <c:pt idx="140">
                  <c:v>9.5821774492386384E-3</c:v>
                </c:pt>
                <c:pt idx="141">
                  <c:v>1.7293731116441433E-2</c:v>
                </c:pt>
                <c:pt idx="142">
                  <c:v>1.3505953848928927E-2</c:v>
                </c:pt>
                <c:pt idx="143">
                  <c:v>1.0595531653869231E-2</c:v>
                </c:pt>
                <c:pt idx="144">
                  <c:v>3.1132769264503868E-4</c:v>
                </c:pt>
                <c:pt idx="145">
                  <c:v>2.4618083660368161E-3</c:v>
                </c:pt>
                <c:pt idx="146">
                  <c:v>-3.5371162899434217E-4</c:v>
                </c:pt>
                <c:pt idx="147">
                  <c:v>8.9172707398458174E-4</c:v>
                </c:pt>
                <c:pt idx="148">
                  <c:v>7.334364650093449E-3</c:v>
                </c:pt>
                <c:pt idx="149">
                  <c:v>5.5066112120944909E-4</c:v>
                </c:pt>
                <c:pt idx="150">
                  <c:v>7.0859293688247619E-3</c:v>
                </c:pt>
                <c:pt idx="151">
                  <c:v>2.2170219717990384E-3</c:v>
                </c:pt>
                <c:pt idx="152">
                  <c:v>7.1815193221905528E-3</c:v>
                </c:pt>
                <c:pt idx="153">
                  <c:v>6.675923198833116E-3</c:v>
                </c:pt>
                <c:pt idx="154">
                  <c:v>6.8266993605193866E-4</c:v>
                </c:pt>
                <c:pt idx="155">
                  <c:v>-1.1029475733021566E-2</c:v>
                </c:pt>
                <c:pt idx="156">
                  <c:v>-1.5077330047126568E-2</c:v>
                </c:pt>
                <c:pt idx="157">
                  <c:v>4.9626821611402925E-3</c:v>
                </c:pt>
                <c:pt idx="158">
                  <c:v>1.5616110937276783E-3</c:v>
                </c:pt>
                <c:pt idx="159">
                  <c:v>-4.6861822192001863E-3</c:v>
                </c:pt>
                <c:pt idx="160">
                  <c:v>2.0802555364506977E-3</c:v>
                </c:pt>
                <c:pt idx="161">
                  <c:v>-1.4009988924254615E-2</c:v>
                </c:pt>
                <c:pt idx="162">
                  <c:v>2.5784263752367045E-2</c:v>
                </c:pt>
                <c:pt idx="163">
                  <c:v>-1.2190795272279249E-2</c:v>
                </c:pt>
                <c:pt idx="164">
                  <c:v>-1.9105056494932263E-4</c:v>
                </c:pt>
                <c:pt idx="165">
                  <c:v>7.2038500424021481E-3</c:v>
                </c:pt>
                <c:pt idx="166">
                  <c:v>-5.774531325504678E-4</c:v>
                </c:pt>
                <c:pt idx="167">
                  <c:v>-1.767100449202397E-3</c:v>
                </c:pt>
                <c:pt idx="168">
                  <c:v>9.8925129441018271E-3</c:v>
                </c:pt>
                <c:pt idx="169">
                  <c:v>1.9439347707002337E-3</c:v>
                </c:pt>
                <c:pt idx="170">
                  <c:v>5.7756956633665014E-3</c:v>
                </c:pt>
                <c:pt idx="171">
                  <c:v>7.4542019371050356E-3</c:v>
                </c:pt>
                <c:pt idx="172">
                  <c:v>-3.6690976579719734E-3</c:v>
                </c:pt>
                <c:pt idx="173">
                  <c:v>-7.0179606470874558E-3</c:v>
                </c:pt>
                <c:pt idx="174">
                  <c:v>-1.9384853190090329E-2</c:v>
                </c:pt>
                <c:pt idx="175">
                  <c:v>5.2136886139891366E-3</c:v>
                </c:pt>
                <c:pt idx="176">
                  <c:v>1.1008809885230319E-2</c:v>
                </c:pt>
                <c:pt idx="177">
                  <c:v>-5.495005458499921E-3</c:v>
                </c:pt>
                <c:pt idx="178">
                  <c:v>-4.9975776499534049E-3</c:v>
                </c:pt>
                <c:pt idx="179">
                  <c:v>-1.715567723975411E-2</c:v>
                </c:pt>
                <c:pt idx="180">
                  <c:v>-1.7951321755430915E-2</c:v>
                </c:pt>
                <c:pt idx="181">
                  <c:v>-5.230508154827917E-4</c:v>
                </c:pt>
                <c:pt idx="182">
                  <c:v>-8.7491785093000481E-3</c:v>
                </c:pt>
                <c:pt idx="183">
                  <c:v>-2.4023347691571597E-3</c:v>
                </c:pt>
                <c:pt idx="184">
                  <c:v>1.6425755966635387E-2</c:v>
                </c:pt>
                <c:pt idx="185">
                  <c:v>-1.2109264449056115E-2</c:v>
                </c:pt>
                <c:pt idx="186">
                  <c:v>2.2913670940629897E-2</c:v>
                </c:pt>
                <c:pt idx="187">
                  <c:v>3.3286441361055977E-3</c:v>
                </c:pt>
                <c:pt idx="188">
                  <c:v>-9.8953306795469538E-4</c:v>
                </c:pt>
                <c:pt idx="189">
                  <c:v>-4.2536458627130021E-3</c:v>
                </c:pt>
                <c:pt idx="190">
                  <c:v>-1.4932383214430616E-2</c:v>
                </c:pt>
                <c:pt idx="191">
                  <c:v>8.2461453323810115E-3</c:v>
                </c:pt>
                <c:pt idx="192">
                  <c:v>-6.3800837729573656E-3</c:v>
                </c:pt>
                <c:pt idx="193">
                  <c:v>1.0070888040842859E-2</c:v>
                </c:pt>
                <c:pt idx="194">
                  <c:v>7.3375869316151731E-3</c:v>
                </c:pt>
                <c:pt idx="195">
                  <c:v>1.0117285903164097E-2</c:v>
                </c:pt>
                <c:pt idx="196">
                  <c:v>1.4468379065521514E-3</c:v>
                </c:pt>
                <c:pt idx="197">
                  <c:v>2.9521745635197228E-3</c:v>
                </c:pt>
                <c:pt idx="198">
                  <c:v>7.0323375716903282E-4</c:v>
                </c:pt>
                <c:pt idx="199">
                  <c:v>8.7873563911103538E-3</c:v>
                </c:pt>
                <c:pt idx="200">
                  <c:v>-4.1961220478546717E-3</c:v>
                </c:pt>
                <c:pt idx="201">
                  <c:v>4.5649079104614753E-3</c:v>
                </c:pt>
                <c:pt idx="202">
                  <c:v>2.8106052165161512E-3</c:v>
                </c:pt>
                <c:pt idx="203">
                  <c:v>1.2672230423852775E-2</c:v>
                </c:pt>
                <c:pt idx="204">
                  <c:v>7.395053229230052E-3</c:v>
                </c:pt>
                <c:pt idx="205">
                  <c:v>-3.4471976728065595E-3</c:v>
                </c:pt>
                <c:pt idx="206">
                  <c:v>-1.6673472739051256E-3</c:v>
                </c:pt>
                <c:pt idx="207">
                  <c:v>3.5701681625630679E-3</c:v>
                </c:pt>
                <c:pt idx="208">
                  <c:v>4.7275861905165173E-3</c:v>
                </c:pt>
                <c:pt idx="209">
                  <c:v>-2.5161392222568506E-3</c:v>
                </c:pt>
                <c:pt idx="210">
                  <c:v>-7.0937258908410931E-3</c:v>
                </c:pt>
                <c:pt idx="211">
                  <c:v>1.7833173246786054E-2</c:v>
                </c:pt>
                <c:pt idx="212">
                  <c:v>-1.1198454947273461E-3</c:v>
                </c:pt>
                <c:pt idx="213">
                  <c:v>4.0509242608679956E-3</c:v>
                </c:pt>
                <c:pt idx="214">
                  <c:v>3.3961115159220794E-4</c:v>
                </c:pt>
                <c:pt idx="215">
                  <c:v>-3.5714963947465006E-3</c:v>
                </c:pt>
                <c:pt idx="216">
                  <c:v>-1.9761337135141229E-3</c:v>
                </c:pt>
                <c:pt idx="217">
                  <c:v>-8.0677295472394717E-3</c:v>
                </c:pt>
                <c:pt idx="218">
                  <c:v>4.6393301536246994E-3</c:v>
                </c:pt>
                <c:pt idx="219">
                  <c:v>1.2634580845837307E-3</c:v>
                </c:pt>
                <c:pt idx="220">
                  <c:v>1.1870949869301662E-2</c:v>
                </c:pt>
                <c:pt idx="221">
                  <c:v>1.5500019804074849E-3</c:v>
                </c:pt>
                <c:pt idx="222">
                  <c:v>2.7008413120687092E-3</c:v>
                </c:pt>
                <c:pt idx="223">
                  <c:v>2.979126530282514E-3</c:v>
                </c:pt>
                <c:pt idx="224">
                  <c:v>7.5356346188063944E-3</c:v>
                </c:pt>
                <c:pt idx="225">
                  <c:v>2.886735354053674E-3</c:v>
                </c:pt>
                <c:pt idx="226">
                  <c:v>-6.1873961993355068E-3</c:v>
                </c:pt>
                <c:pt idx="227">
                  <c:v>2.6482379231749159E-4</c:v>
                </c:pt>
                <c:pt idx="228">
                  <c:v>-3.1175136457698136E-3</c:v>
                </c:pt>
                <c:pt idx="229">
                  <c:v>-4.4119027503989484E-3</c:v>
                </c:pt>
                <c:pt idx="230">
                  <c:v>2.6319123407236218E-3</c:v>
                </c:pt>
                <c:pt idx="231">
                  <c:v>-6.0587824061014445E-3</c:v>
                </c:pt>
                <c:pt idx="232">
                  <c:v>2.9777473245970985E-5</c:v>
                </c:pt>
                <c:pt idx="233">
                  <c:v>5.9927938442851138E-3</c:v>
                </c:pt>
                <c:pt idx="234">
                  <c:v>2.8106610597593367E-3</c:v>
                </c:pt>
                <c:pt idx="235">
                  <c:v>-1.3150934322016408E-2</c:v>
                </c:pt>
                <c:pt idx="236">
                  <c:v>-7.9229530381443609E-3</c:v>
                </c:pt>
                <c:pt idx="237">
                  <c:v>8.2899567026108855E-3</c:v>
                </c:pt>
                <c:pt idx="238">
                  <c:v>-1.9081205665572067E-3</c:v>
                </c:pt>
                <c:pt idx="239">
                  <c:v>-1.0127719650495335E-2</c:v>
                </c:pt>
                <c:pt idx="240">
                  <c:v>-3.9425027359330164E-3</c:v>
                </c:pt>
                <c:pt idx="241">
                  <c:v>-1.7683160247588019E-2</c:v>
                </c:pt>
                <c:pt idx="242">
                  <c:v>1.1669632886650927E-2</c:v>
                </c:pt>
                <c:pt idx="243">
                  <c:v>6.5336546220654303E-3</c:v>
                </c:pt>
                <c:pt idx="244">
                  <c:v>-5.4051502445136572E-4</c:v>
                </c:pt>
                <c:pt idx="245">
                  <c:v>3.7798317009242652E-3</c:v>
                </c:pt>
                <c:pt idx="246">
                  <c:v>-4.711077950634834E-3</c:v>
                </c:pt>
                <c:pt idx="247">
                  <c:v>5.0895833830442968E-3</c:v>
                </c:pt>
                <c:pt idx="248">
                  <c:v>1.9289275973554496E-3</c:v>
                </c:pt>
                <c:pt idx="249">
                  <c:v>-1.0399069459748099E-2</c:v>
                </c:pt>
                <c:pt idx="250">
                  <c:v>-2.8154392823156486E-3</c:v>
                </c:pt>
                <c:pt idx="251">
                  <c:v>-7.3755037122400051E-3</c:v>
                </c:pt>
                <c:pt idx="252">
                  <c:v>1.3536251708300794E-2</c:v>
                </c:pt>
                <c:pt idx="253">
                  <c:v>-1.0333504743910142E-2</c:v>
                </c:pt>
                <c:pt idx="254">
                  <c:v>-1.0299775092471452E-3</c:v>
                </c:pt>
                <c:pt idx="255">
                  <c:v>-2.0954755408598936E-3</c:v>
                </c:pt>
                <c:pt idx="256">
                  <c:v>5.5100958833134029E-3</c:v>
                </c:pt>
                <c:pt idx="257">
                  <c:v>-3.438847072641213E-3</c:v>
                </c:pt>
                <c:pt idx="258">
                  <c:v>8.8545685189949756E-3</c:v>
                </c:pt>
                <c:pt idx="259">
                  <c:v>6.2065563167220707E-3</c:v>
                </c:pt>
                <c:pt idx="260">
                  <c:v>-3.1653670993214296E-3</c:v>
                </c:pt>
                <c:pt idx="261">
                  <c:v>-4.4289752638624075E-3</c:v>
                </c:pt>
                <c:pt idx="262">
                  <c:v>5.0422760608549964E-3</c:v>
                </c:pt>
                <c:pt idx="263">
                  <c:v>-1.3798013043193401E-5</c:v>
                </c:pt>
                <c:pt idx="264">
                  <c:v>-1.2492979597588426E-2</c:v>
                </c:pt>
                <c:pt idx="265">
                  <c:v>-1.6074246940885949E-2</c:v>
                </c:pt>
                <c:pt idx="266">
                  <c:v>2.5334426429020982E-3</c:v>
                </c:pt>
                <c:pt idx="267">
                  <c:v>7.479862872396513E-4</c:v>
                </c:pt>
                <c:pt idx="268">
                  <c:v>-2.5959245609957441E-3</c:v>
                </c:pt>
                <c:pt idx="269">
                  <c:v>-3.3493921756640085E-4</c:v>
                </c:pt>
                <c:pt idx="270">
                  <c:v>1.3835596272105368E-2</c:v>
                </c:pt>
                <c:pt idx="271">
                  <c:v>-5.0101331679415564E-3</c:v>
                </c:pt>
                <c:pt idx="272">
                  <c:v>-2.4261514443683504E-3</c:v>
                </c:pt>
                <c:pt idx="273">
                  <c:v>8.4755364387889432E-3</c:v>
                </c:pt>
                <c:pt idx="274">
                  <c:v>1.2170079483475669E-3</c:v>
                </c:pt>
                <c:pt idx="275">
                  <c:v>-2.0649578819473256E-3</c:v>
                </c:pt>
                <c:pt idx="276">
                  <c:v>-4.7937506790244888E-3</c:v>
                </c:pt>
                <c:pt idx="277">
                  <c:v>8.9443536626034291E-3</c:v>
                </c:pt>
                <c:pt idx="278">
                  <c:v>4.7964707945364893E-3</c:v>
                </c:pt>
                <c:pt idx="279">
                  <c:v>1.1101336009159844E-3</c:v>
                </c:pt>
                <c:pt idx="280">
                  <c:v>-5.0815676548039302E-3</c:v>
                </c:pt>
                <c:pt idx="281">
                  <c:v>-5.5505185148935288E-3</c:v>
                </c:pt>
                <c:pt idx="282">
                  <c:v>-1.0031264579886891E-3</c:v>
                </c:pt>
                <c:pt idx="283">
                  <c:v>-1.5280363159415942E-2</c:v>
                </c:pt>
                <c:pt idx="284">
                  <c:v>-2.4524349637781071E-3</c:v>
                </c:pt>
                <c:pt idx="285">
                  <c:v>-2.5954297380254561E-3</c:v>
                </c:pt>
                <c:pt idx="286">
                  <c:v>-4.1854114172380965E-3</c:v>
                </c:pt>
                <c:pt idx="287">
                  <c:v>-5.1027157362123765E-3</c:v>
                </c:pt>
                <c:pt idx="288">
                  <c:v>8.4923487777371857E-3</c:v>
                </c:pt>
                <c:pt idx="289">
                  <c:v>-7.3921687196455222E-3</c:v>
                </c:pt>
                <c:pt idx="290">
                  <c:v>1.5728598586189711E-2</c:v>
                </c:pt>
                <c:pt idx="291">
                  <c:v>6.6555236540313924E-3</c:v>
                </c:pt>
                <c:pt idx="292">
                  <c:v>2.4250512461693411E-3</c:v>
                </c:pt>
                <c:pt idx="293">
                  <c:v>-9.282249942022187E-3</c:v>
                </c:pt>
                <c:pt idx="294">
                  <c:v>-1.0045664593160527E-2</c:v>
                </c:pt>
                <c:pt idx="295">
                  <c:v>-1.485103596719917E-2</c:v>
                </c:pt>
                <c:pt idx="296">
                  <c:v>-6.4706805259555035E-3</c:v>
                </c:pt>
                <c:pt idx="297">
                  <c:v>-4.1746837020749817E-3</c:v>
                </c:pt>
                <c:pt idx="298">
                  <c:v>7.9242863692354643E-4</c:v>
                </c:pt>
                <c:pt idx="299">
                  <c:v>6.7381296294867204E-3</c:v>
                </c:pt>
                <c:pt idx="300">
                  <c:v>-6.5292431835382693E-3</c:v>
                </c:pt>
                <c:pt idx="301">
                  <c:v>7.0106429245155163E-3</c:v>
                </c:pt>
                <c:pt idx="302">
                  <c:v>2.5953757708606878E-3</c:v>
                </c:pt>
                <c:pt idx="303">
                  <c:v>-4.3726933045480044E-3</c:v>
                </c:pt>
                <c:pt idx="304">
                  <c:v>-7.7209333650201471E-3</c:v>
                </c:pt>
                <c:pt idx="305">
                  <c:v>2.3988383702912507E-3</c:v>
                </c:pt>
                <c:pt idx="306">
                  <c:v>-2.0016838613254148E-3</c:v>
                </c:pt>
                <c:pt idx="307">
                  <c:v>7.6098565892092247E-3</c:v>
                </c:pt>
                <c:pt idx="308">
                  <c:v>1.6337198929748439E-2</c:v>
                </c:pt>
                <c:pt idx="309">
                  <c:v>2.2062979593601138E-3</c:v>
                </c:pt>
                <c:pt idx="310">
                  <c:v>9.1389548174925506E-3</c:v>
                </c:pt>
                <c:pt idx="311">
                  <c:v>2.397874821069442E-3</c:v>
                </c:pt>
                <c:pt idx="312">
                  <c:v>1.4148631863920139E-3</c:v>
                </c:pt>
                <c:pt idx="313">
                  <c:v>5.5747683220432271E-3</c:v>
                </c:pt>
                <c:pt idx="314">
                  <c:v>5.0839679967847554E-3</c:v>
                </c:pt>
                <c:pt idx="315">
                  <c:v>8.7577242020018457E-4</c:v>
                </c:pt>
                <c:pt idx="316">
                  <c:v>-6.7955121718644386E-3</c:v>
                </c:pt>
                <c:pt idx="317">
                  <c:v>-2.637353285943389E-3</c:v>
                </c:pt>
                <c:pt idx="318">
                  <c:v>-2.3442830374251948E-3</c:v>
                </c:pt>
                <c:pt idx="319">
                  <c:v>3.234746505852155E-4</c:v>
                </c:pt>
                <c:pt idx="320">
                  <c:v>-2.2607117819432117E-5</c:v>
                </c:pt>
                <c:pt idx="321">
                  <c:v>6.771973792124168E-3</c:v>
                </c:pt>
                <c:pt idx="322">
                  <c:v>1.4568576727329279E-3</c:v>
                </c:pt>
                <c:pt idx="323">
                  <c:v>2.4958627404083338E-3</c:v>
                </c:pt>
                <c:pt idx="324">
                  <c:v>5.6951528173308985E-3</c:v>
                </c:pt>
                <c:pt idx="325">
                  <c:v>8.3700136177692844E-3</c:v>
                </c:pt>
                <c:pt idx="326">
                  <c:v>4.575166952670867E-3</c:v>
                </c:pt>
                <c:pt idx="327">
                  <c:v>-3.1850284061381131E-3</c:v>
                </c:pt>
                <c:pt idx="328">
                  <c:v>9.1737176144039076E-3</c:v>
                </c:pt>
                <c:pt idx="329">
                  <c:v>-1.0232406851986326E-2</c:v>
                </c:pt>
                <c:pt idx="330">
                  <c:v>1.0814123139077935E-2</c:v>
                </c:pt>
                <c:pt idx="331">
                  <c:v>8.4800374873639524E-5</c:v>
                </c:pt>
                <c:pt idx="332">
                  <c:v>2.6908204665803477E-3</c:v>
                </c:pt>
                <c:pt idx="333">
                  <c:v>-9.8823426497263904E-4</c:v>
                </c:pt>
                <c:pt idx="334">
                  <c:v>9.728797617096647E-4</c:v>
                </c:pt>
                <c:pt idx="335">
                  <c:v>4.5891205154244613E-3</c:v>
                </c:pt>
                <c:pt idx="336">
                  <c:v>-6.106338786803482E-3</c:v>
                </c:pt>
                <c:pt idx="337">
                  <c:v>-5.7282694884204198E-3</c:v>
                </c:pt>
                <c:pt idx="338">
                  <c:v>-2.8490536389512416E-3</c:v>
                </c:pt>
                <c:pt idx="339">
                  <c:v>4.0513721860304429E-3</c:v>
                </c:pt>
                <c:pt idx="340">
                  <c:v>6.0977618255806682E-3</c:v>
                </c:pt>
                <c:pt idx="341">
                  <c:v>1.8346005483484019E-3</c:v>
                </c:pt>
                <c:pt idx="342">
                  <c:v>-3.4117946915195544E-3</c:v>
                </c:pt>
                <c:pt idx="343">
                  <c:v>1.955111686676328E-3</c:v>
                </c:pt>
                <c:pt idx="344">
                  <c:v>9.7264207867394266E-3</c:v>
                </c:pt>
                <c:pt idx="345">
                  <c:v>5.3677985496143193E-3</c:v>
                </c:pt>
                <c:pt idx="346">
                  <c:v>1.8925683993196991E-3</c:v>
                </c:pt>
                <c:pt idx="347">
                  <c:v>-5.3370194611836079E-3</c:v>
                </c:pt>
                <c:pt idx="348">
                  <c:v>-2.5169625138049723E-3</c:v>
                </c:pt>
                <c:pt idx="349">
                  <c:v>2.5070443401712366E-3</c:v>
                </c:pt>
                <c:pt idx="350">
                  <c:v>3.2237875732029578E-3</c:v>
                </c:pt>
                <c:pt idx="351">
                  <c:v>2.7699433459471828E-4</c:v>
                </c:pt>
                <c:pt idx="352">
                  <c:v>6.8498516586912852E-3</c:v>
                </c:pt>
                <c:pt idx="353">
                  <c:v>-4.9048192969397822E-3</c:v>
                </c:pt>
                <c:pt idx="354">
                  <c:v>-3.8181972206460836E-3</c:v>
                </c:pt>
                <c:pt idx="355">
                  <c:v>2.0524046347926875E-3</c:v>
                </c:pt>
                <c:pt idx="356">
                  <c:v>6.1635024594790325E-3</c:v>
                </c:pt>
                <c:pt idx="357">
                  <c:v>2.1238341843584732E-3</c:v>
                </c:pt>
                <c:pt idx="358">
                  <c:v>-3.6149041414472735E-3</c:v>
                </c:pt>
                <c:pt idx="359">
                  <c:v>7.3790483722372593E-3</c:v>
                </c:pt>
                <c:pt idx="360">
                  <c:v>-3.7475183788378695E-3</c:v>
                </c:pt>
                <c:pt idx="361">
                  <c:v>3.2657175674550825E-3</c:v>
                </c:pt>
                <c:pt idx="362">
                  <c:v>2.1337637134286021E-3</c:v>
                </c:pt>
                <c:pt idx="363">
                  <c:v>-4.5394437976079413E-3</c:v>
                </c:pt>
                <c:pt idx="364">
                  <c:v>-5.6336152360657917E-3</c:v>
                </c:pt>
                <c:pt idx="365">
                  <c:v>1.3768299268703365E-3</c:v>
                </c:pt>
                <c:pt idx="366">
                  <c:v>6.7519034237094218E-3</c:v>
                </c:pt>
                <c:pt idx="367">
                  <c:v>8.2210727723044698E-3</c:v>
                </c:pt>
                <c:pt idx="368">
                  <c:v>1.143527477038353E-2</c:v>
                </c:pt>
                <c:pt idx="369">
                  <c:v>6.9570924337844136E-3</c:v>
                </c:pt>
                <c:pt idx="370">
                  <c:v>3.4389465321182254E-3</c:v>
                </c:pt>
                <c:pt idx="371">
                  <c:v>4.8996853886224153E-4</c:v>
                </c:pt>
                <c:pt idx="372">
                  <c:v>5.093217568368778E-3</c:v>
                </c:pt>
                <c:pt idx="373">
                  <c:v>-8.4883544578272449E-3</c:v>
                </c:pt>
                <c:pt idx="374">
                  <c:v>1.246630372049119E-3</c:v>
                </c:pt>
                <c:pt idx="375">
                  <c:v>4.3139300323546499E-3</c:v>
                </c:pt>
                <c:pt idx="376">
                  <c:v>-2.8344295035718976E-3</c:v>
                </c:pt>
                <c:pt idx="377">
                  <c:v>1.5192303984915279E-3</c:v>
                </c:pt>
                <c:pt idx="378">
                  <c:v>7.7651149314274673E-3</c:v>
                </c:pt>
                <c:pt idx="379">
                  <c:v>7.5110132638195846E-3</c:v>
                </c:pt>
                <c:pt idx="380">
                  <c:v>1.9177068403253327E-3</c:v>
                </c:pt>
                <c:pt idx="381">
                  <c:v>4.2482823904704849E-3</c:v>
                </c:pt>
                <c:pt idx="382">
                  <c:v>7.361412439359746E-3</c:v>
                </c:pt>
                <c:pt idx="383">
                  <c:v>-1.1719737146854696E-2</c:v>
                </c:pt>
                <c:pt idx="384">
                  <c:v>-3.6794323119776762E-3</c:v>
                </c:pt>
                <c:pt idx="385">
                  <c:v>4.1937034284027095E-4</c:v>
                </c:pt>
                <c:pt idx="386">
                  <c:v>4.9643391939807515E-3</c:v>
                </c:pt>
                <c:pt idx="387">
                  <c:v>-5.9863782693477738E-3</c:v>
                </c:pt>
                <c:pt idx="388">
                  <c:v>-7.0445982556135544E-4</c:v>
                </c:pt>
                <c:pt idx="389">
                  <c:v>5.4845628366290639E-3</c:v>
                </c:pt>
                <c:pt idx="390">
                  <c:v>-1.0251191770384391E-3</c:v>
                </c:pt>
                <c:pt idx="391">
                  <c:v>-1.0489749275092712E-2</c:v>
                </c:pt>
                <c:pt idx="392">
                  <c:v>-7.4206853849987436E-3</c:v>
                </c:pt>
                <c:pt idx="393">
                  <c:v>6.983389250631169E-3</c:v>
                </c:pt>
                <c:pt idx="394">
                  <c:v>4.1144018547933457E-3</c:v>
                </c:pt>
                <c:pt idx="395">
                  <c:v>-1.3497354710014923E-3</c:v>
                </c:pt>
                <c:pt idx="396">
                  <c:v>3.1527078912111498E-3</c:v>
                </c:pt>
                <c:pt idx="397">
                  <c:v>-4.5562684644407008E-3</c:v>
                </c:pt>
                <c:pt idx="398">
                  <c:v>-5.8741361553073098E-3</c:v>
                </c:pt>
                <c:pt idx="399">
                  <c:v>3.2169565781646828E-4</c:v>
                </c:pt>
                <c:pt idx="400">
                  <c:v>1.5667570268599492E-3</c:v>
                </c:pt>
                <c:pt idx="401">
                  <c:v>-5.124582584125353E-3</c:v>
                </c:pt>
                <c:pt idx="402">
                  <c:v>-2.8452826067311698E-3</c:v>
                </c:pt>
                <c:pt idx="403">
                  <c:v>4.3215208742701074E-3</c:v>
                </c:pt>
                <c:pt idx="404">
                  <c:v>1.4693558996005377E-4</c:v>
                </c:pt>
                <c:pt idx="405">
                  <c:v>2.4515198871256734E-3</c:v>
                </c:pt>
                <c:pt idx="406">
                  <c:v>-2.9469646677639239E-3</c:v>
                </c:pt>
                <c:pt idx="407">
                  <c:v>-6.2361537997922632E-3</c:v>
                </c:pt>
                <c:pt idx="408">
                  <c:v>2.0891942389280123E-3</c:v>
                </c:pt>
                <c:pt idx="409">
                  <c:v>1.8957585067587667E-3</c:v>
                </c:pt>
                <c:pt idx="410">
                  <c:v>2.4809567990909402E-4</c:v>
                </c:pt>
                <c:pt idx="411">
                  <c:v>-4.8403506291687217E-3</c:v>
                </c:pt>
                <c:pt idx="412">
                  <c:v>9.4267101890400506E-3</c:v>
                </c:pt>
                <c:pt idx="413">
                  <c:v>4.8108337017045725E-3</c:v>
                </c:pt>
                <c:pt idx="414">
                  <c:v>2.3605960507748539E-3</c:v>
                </c:pt>
                <c:pt idx="415">
                  <c:v>1.8467726158455178E-3</c:v>
                </c:pt>
                <c:pt idx="416">
                  <c:v>5.9150323608557279E-3</c:v>
                </c:pt>
                <c:pt idx="417">
                  <c:v>4.7091903919804952E-3</c:v>
                </c:pt>
                <c:pt idx="418">
                  <c:v>8.9001433884048405E-3</c:v>
                </c:pt>
                <c:pt idx="419">
                  <c:v>-1.5754825563684796E-4</c:v>
                </c:pt>
                <c:pt idx="420">
                  <c:v>3.8413452573921327E-3</c:v>
                </c:pt>
                <c:pt idx="421">
                  <c:v>1.649208221225749E-3</c:v>
                </c:pt>
                <c:pt idx="422">
                  <c:v>4.4396138772571907E-3</c:v>
                </c:pt>
                <c:pt idx="423">
                  <c:v>-2.924316839962012E-3</c:v>
                </c:pt>
                <c:pt idx="424">
                  <c:v>-1.1518249914532109E-2</c:v>
                </c:pt>
                <c:pt idx="425">
                  <c:v>-7.9919392040333961E-3</c:v>
                </c:pt>
                <c:pt idx="426">
                  <c:v>-3.4494176401858481E-3</c:v>
                </c:pt>
                <c:pt idx="427">
                  <c:v>1.528805418258558E-5</c:v>
                </c:pt>
                <c:pt idx="428">
                  <c:v>-5.0072614666848026E-4</c:v>
                </c:pt>
                <c:pt idx="429">
                  <c:v>2.631619198629758E-3</c:v>
                </c:pt>
                <c:pt idx="430">
                  <c:v>-9.783629692009025E-3</c:v>
                </c:pt>
                <c:pt idx="431">
                  <c:v>5.8775169172440092E-3</c:v>
                </c:pt>
                <c:pt idx="432">
                  <c:v>-5.5784246418097332E-3</c:v>
                </c:pt>
                <c:pt idx="433">
                  <c:v>-4.7443072905331484E-3</c:v>
                </c:pt>
                <c:pt idx="434">
                  <c:v>5.6415841246885232E-3</c:v>
                </c:pt>
                <c:pt idx="435">
                  <c:v>5.512707366051443E-3</c:v>
                </c:pt>
                <c:pt idx="436">
                  <c:v>-7.1819467779275555E-3</c:v>
                </c:pt>
                <c:pt idx="437">
                  <c:v>9.0968029764149343E-3</c:v>
                </c:pt>
                <c:pt idx="438">
                  <c:v>6.1706921288247809E-3</c:v>
                </c:pt>
                <c:pt idx="439">
                  <c:v>-8.7574089309489108E-4</c:v>
                </c:pt>
                <c:pt idx="440">
                  <c:v>-2.1698099929270622E-3</c:v>
                </c:pt>
                <c:pt idx="441">
                  <c:v>-9.7720274298360795E-4</c:v>
                </c:pt>
                <c:pt idx="442">
                  <c:v>4.0417094276990126E-3</c:v>
                </c:pt>
                <c:pt idx="443">
                  <c:v>-7.0868127602654631E-3</c:v>
                </c:pt>
                <c:pt idx="444">
                  <c:v>-2.3588101795170222E-3</c:v>
                </c:pt>
                <c:pt idx="445">
                  <c:v>-4.1808960781708204E-3</c:v>
                </c:pt>
                <c:pt idx="446">
                  <c:v>-1.3350307444488287E-2</c:v>
                </c:pt>
                <c:pt idx="447">
                  <c:v>-8.277236713472625E-3</c:v>
                </c:pt>
                <c:pt idx="448">
                  <c:v>-1.3853064931686596E-2</c:v>
                </c:pt>
                <c:pt idx="449">
                  <c:v>1.007570032746026E-2</c:v>
                </c:pt>
                <c:pt idx="450">
                  <c:v>4.9167407893527526E-3</c:v>
                </c:pt>
                <c:pt idx="451">
                  <c:v>-3.2026070220198158E-3</c:v>
                </c:pt>
                <c:pt idx="452">
                  <c:v>-4.7406245337211347E-3</c:v>
                </c:pt>
                <c:pt idx="453">
                  <c:v>7.5885232373691398E-3</c:v>
                </c:pt>
                <c:pt idx="454">
                  <c:v>5.0879808187318295E-3</c:v>
                </c:pt>
                <c:pt idx="455">
                  <c:v>9.4199034186755199E-3</c:v>
                </c:pt>
                <c:pt idx="456">
                  <c:v>-2.6019194560004814E-4</c:v>
                </c:pt>
                <c:pt idx="457">
                  <c:v>1.8962926453753753E-3</c:v>
                </c:pt>
                <c:pt idx="458">
                  <c:v>-2.4789373826727833E-3</c:v>
                </c:pt>
                <c:pt idx="459">
                  <c:v>1.5492839394084283E-3</c:v>
                </c:pt>
                <c:pt idx="460">
                  <c:v>9.3698040788764631E-4</c:v>
                </c:pt>
                <c:pt idx="461">
                  <c:v>1.1926753534472975E-2</c:v>
                </c:pt>
                <c:pt idx="462">
                  <c:v>4.5615222809414222E-3</c:v>
                </c:pt>
                <c:pt idx="463">
                  <c:v>-1.6897597453958925E-3</c:v>
                </c:pt>
                <c:pt idx="464">
                  <c:v>-1.9157288997363373E-3</c:v>
                </c:pt>
                <c:pt idx="465">
                  <c:v>4.53947349446528E-3</c:v>
                </c:pt>
                <c:pt idx="466">
                  <c:v>1.4380347886475513E-3</c:v>
                </c:pt>
                <c:pt idx="467">
                  <c:v>-4.9715746860537263E-4</c:v>
                </c:pt>
                <c:pt idx="468">
                  <c:v>-3.686890718110158E-4</c:v>
                </c:pt>
                <c:pt idx="469">
                  <c:v>4.7992646389298996E-3</c:v>
                </c:pt>
                <c:pt idx="470">
                  <c:v>1.0402389082000654E-2</c:v>
                </c:pt>
                <c:pt idx="471">
                  <c:v>1.8187545510748814E-3</c:v>
                </c:pt>
                <c:pt idx="472">
                  <c:v>6.6929416103818744E-3</c:v>
                </c:pt>
                <c:pt idx="473">
                  <c:v>2.0668168972550114E-2</c:v>
                </c:pt>
                <c:pt idx="474">
                  <c:v>8.1355657543033325E-3</c:v>
                </c:pt>
                <c:pt idx="475">
                  <c:v>3.9606432742403056E-3</c:v>
                </c:pt>
                <c:pt idx="476">
                  <c:v>-1.7455990564060003E-3</c:v>
                </c:pt>
                <c:pt idx="477">
                  <c:v>3.2653705046487938E-3</c:v>
                </c:pt>
                <c:pt idx="478">
                  <c:v>1.3209351475729359E-3</c:v>
                </c:pt>
                <c:pt idx="479">
                  <c:v>-4.3196069785336015E-3</c:v>
                </c:pt>
                <c:pt idx="480">
                  <c:v>9.5421582036616444E-4</c:v>
                </c:pt>
                <c:pt idx="481">
                  <c:v>1.225008732004299E-2</c:v>
                </c:pt>
                <c:pt idx="482">
                  <c:v>1.2932779206640398E-2</c:v>
                </c:pt>
                <c:pt idx="483">
                  <c:v>-1.7710126840645693E-3</c:v>
                </c:pt>
                <c:pt idx="484">
                  <c:v>1.6083748215282947E-3</c:v>
                </c:pt>
                <c:pt idx="485">
                  <c:v>-1.4121466059520292E-2</c:v>
                </c:pt>
                <c:pt idx="486">
                  <c:v>4.9597940468849178E-3</c:v>
                </c:pt>
                <c:pt idx="487">
                  <c:v>4.4389265860675844E-3</c:v>
                </c:pt>
                <c:pt idx="488">
                  <c:v>4.3068758989017533E-3</c:v>
                </c:pt>
                <c:pt idx="489">
                  <c:v>9.9527499383912123E-3</c:v>
                </c:pt>
                <c:pt idx="490">
                  <c:v>5.7238813193409418E-3</c:v>
                </c:pt>
                <c:pt idx="491">
                  <c:v>-2.1717930682809091E-3</c:v>
                </c:pt>
                <c:pt idx="492">
                  <c:v>4.8317180720431377E-4</c:v>
                </c:pt>
                <c:pt idx="493">
                  <c:v>-3.500136079709882E-3</c:v>
                </c:pt>
                <c:pt idx="494">
                  <c:v>-6.851866381518028E-3</c:v>
                </c:pt>
                <c:pt idx="495">
                  <c:v>6.5644701864638463E-3</c:v>
                </c:pt>
                <c:pt idx="496">
                  <c:v>2.410182234418762E-3</c:v>
                </c:pt>
                <c:pt idx="497">
                  <c:v>-9.1107086742330205E-3</c:v>
                </c:pt>
                <c:pt idx="498">
                  <c:v>1.4804819876354197E-3</c:v>
                </c:pt>
                <c:pt idx="499">
                  <c:v>3.4277152702494634E-3</c:v>
                </c:pt>
                <c:pt idx="500">
                  <c:v>1.3183031833364073E-3</c:v>
                </c:pt>
                <c:pt idx="501">
                  <c:v>1.1426492614476431E-2</c:v>
                </c:pt>
                <c:pt idx="502">
                  <c:v>9.2670747177910108E-3</c:v>
                </c:pt>
                <c:pt idx="503">
                  <c:v>-2.9482334071382365E-3</c:v>
                </c:pt>
                <c:pt idx="504">
                  <c:v>-2.0894393489625782E-2</c:v>
                </c:pt>
                <c:pt idx="505">
                  <c:v>-5.0852715202656844E-3</c:v>
                </c:pt>
                <c:pt idx="506">
                  <c:v>7.4619572039277904E-3</c:v>
                </c:pt>
                <c:pt idx="507">
                  <c:v>-1.7740842971331949E-2</c:v>
                </c:pt>
                <c:pt idx="508">
                  <c:v>1.0129971094811811E-2</c:v>
                </c:pt>
                <c:pt idx="509">
                  <c:v>-4.7240537844771471E-3</c:v>
                </c:pt>
                <c:pt idx="510">
                  <c:v>1.8030591452561338E-2</c:v>
                </c:pt>
                <c:pt idx="511">
                  <c:v>-9.9136981026542014E-3</c:v>
                </c:pt>
                <c:pt idx="512">
                  <c:v>9.4600254482075374E-3</c:v>
                </c:pt>
                <c:pt idx="513">
                  <c:v>-1.3003033741392424E-3</c:v>
                </c:pt>
                <c:pt idx="514">
                  <c:v>7.2059881519662555E-3</c:v>
                </c:pt>
                <c:pt idx="515">
                  <c:v>-3.7568550579715958E-3</c:v>
                </c:pt>
                <c:pt idx="516">
                  <c:v>7.2434021071895172E-3</c:v>
                </c:pt>
                <c:pt idx="517">
                  <c:v>5.0143140277199318E-5</c:v>
                </c:pt>
                <c:pt idx="518">
                  <c:v>-9.6920170994734146E-3</c:v>
                </c:pt>
                <c:pt idx="519">
                  <c:v>2.9722318782995096E-3</c:v>
                </c:pt>
                <c:pt idx="520">
                  <c:v>-7.6414194422127057E-3</c:v>
                </c:pt>
                <c:pt idx="521">
                  <c:v>5.884480023141108E-3</c:v>
                </c:pt>
                <c:pt idx="522">
                  <c:v>4.4519922734642583E-3</c:v>
                </c:pt>
                <c:pt idx="523">
                  <c:v>3.23713620031982E-3</c:v>
                </c:pt>
                <c:pt idx="524">
                  <c:v>5.9308430336706078E-3</c:v>
                </c:pt>
                <c:pt idx="525">
                  <c:v>3.7000087968943186E-3</c:v>
                </c:pt>
                <c:pt idx="526">
                  <c:v>3.3766555843098359E-3</c:v>
                </c:pt>
                <c:pt idx="527">
                  <c:v>-6.3927000327835704E-3</c:v>
                </c:pt>
                <c:pt idx="528">
                  <c:v>7.3633218808954017E-3</c:v>
                </c:pt>
                <c:pt idx="529">
                  <c:v>-2.1379592018771796E-4</c:v>
                </c:pt>
                <c:pt idx="530">
                  <c:v>-4.0809285312997396E-3</c:v>
                </c:pt>
                <c:pt idx="531">
                  <c:v>3.4489943430348661E-3</c:v>
                </c:pt>
                <c:pt idx="532">
                  <c:v>-1.1135927776350463E-2</c:v>
                </c:pt>
                <c:pt idx="533">
                  <c:v>1.4418556401936556E-3</c:v>
                </c:pt>
                <c:pt idx="534">
                  <c:v>1.61921687116252E-2</c:v>
                </c:pt>
                <c:pt idx="535">
                  <c:v>2.9925402719490025E-3</c:v>
                </c:pt>
                <c:pt idx="536">
                  <c:v>-2.2002905014957257E-3</c:v>
                </c:pt>
                <c:pt idx="537">
                  <c:v>5.2669715420930662E-3</c:v>
                </c:pt>
                <c:pt idx="538">
                  <c:v>8.6766734622161119E-4</c:v>
                </c:pt>
                <c:pt idx="539">
                  <c:v>-7.1531787740650044E-3</c:v>
                </c:pt>
                <c:pt idx="540">
                  <c:v>1.3651886124665786E-4</c:v>
                </c:pt>
                <c:pt idx="541">
                  <c:v>-1.5132725270247114E-2</c:v>
                </c:pt>
                <c:pt idx="542">
                  <c:v>6.7712159584102259E-3</c:v>
                </c:pt>
                <c:pt idx="543">
                  <c:v>-5.567468661089519E-3</c:v>
                </c:pt>
                <c:pt idx="544">
                  <c:v>1.4688778307718269E-3</c:v>
                </c:pt>
                <c:pt idx="545">
                  <c:v>-1.0802196640166288E-2</c:v>
                </c:pt>
                <c:pt idx="546">
                  <c:v>9.9234286202201888E-4</c:v>
                </c:pt>
                <c:pt idx="547">
                  <c:v>7.9146857285620556E-3</c:v>
                </c:pt>
                <c:pt idx="548">
                  <c:v>3.8524884896065661E-3</c:v>
                </c:pt>
                <c:pt idx="549">
                  <c:v>-4.1658063289851102E-3</c:v>
                </c:pt>
                <c:pt idx="550">
                  <c:v>5.4057167887708434E-3</c:v>
                </c:pt>
                <c:pt idx="551">
                  <c:v>9.1870010783881764E-3</c:v>
                </c:pt>
                <c:pt idx="552">
                  <c:v>6.0509791611942513E-3</c:v>
                </c:pt>
                <c:pt idx="553">
                  <c:v>-3.8728603864296435E-4</c:v>
                </c:pt>
                <c:pt idx="554">
                  <c:v>-8.3063021254249126E-4</c:v>
                </c:pt>
                <c:pt idx="555">
                  <c:v>3.5659124883039503E-3</c:v>
                </c:pt>
                <c:pt idx="556">
                  <c:v>-4.2246803014146424E-5</c:v>
                </c:pt>
                <c:pt idx="557">
                  <c:v>6.7781647305307493E-3</c:v>
                </c:pt>
                <c:pt idx="558">
                  <c:v>-1.0390218160231575E-3</c:v>
                </c:pt>
                <c:pt idx="559">
                  <c:v>4.9044741031898393E-3</c:v>
                </c:pt>
                <c:pt idx="560">
                  <c:v>-1.0301592786895311E-2</c:v>
                </c:pt>
                <c:pt idx="561">
                  <c:v>-1.0963897204770794E-2</c:v>
                </c:pt>
                <c:pt idx="562">
                  <c:v>-5.5943252441351798E-3</c:v>
                </c:pt>
                <c:pt idx="563">
                  <c:v>-6.8652458840651846E-3</c:v>
                </c:pt>
                <c:pt idx="564">
                  <c:v>6.8717687057722604E-3</c:v>
                </c:pt>
                <c:pt idx="565">
                  <c:v>8.5519659999096585E-3</c:v>
                </c:pt>
                <c:pt idx="566">
                  <c:v>1.4147135817252454E-3</c:v>
                </c:pt>
                <c:pt idx="567">
                  <c:v>1.5379287821888062E-3</c:v>
                </c:pt>
                <c:pt idx="568">
                  <c:v>7.4969295731127962E-3</c:v>
                </c:pt>
                <c:pt idx="569">
                  <c:v>-6.6636269533029242E-3</c:v>
                </c:pt>
                <c:pt idx="570">
                  <c:v>9.9666225742668108E-3</c:v>
                </c:pt>
                <c:pt idx="571">
                  <c:v>-1.7025173487335891E-3</c:v>
                </c:pt>
                <c:pt idx="572">
                  <c:v>1.917712824894799E-3</c:v>
                </c:pt>
                <c:pt idx="573">
                  <c:v>-7.609859324065384E-3</c:v>
                </c:pt>
                <c:pt idx="574">
                  <c:v>-1.4749337878968594E-3</c:v>
                </c:pt>
                <c:pt idx="575">
                  <c:v>-6.2469856068518509E-3</c:v>
                </c:pt>
                <c:pt idx="576">
                  <c:v>0</c:v>
                </c:pt>
                <c:pt idx="577">
                  <c:v>-1.5469117811904494E-2</c:v>
                </c:pt>
                <c:pt idx="578">
                  <c:v>4.4494691563246392E-3</c:v>
                </c:pt>
                <c:pt idx="579">
                  <c:v>2.2149680678431177E-3</c:v>
                </c:pt>
                <c:pt idx="580">
                  <c:v>5.1483245821085976E-3</c:v>
                </c:pt>
                <c:pt idx="581">
                  <c:v>-7.7860046334059458E-4</c:v>
                </c:pt>
                <c:pt idx="582">
                  <c:v>9.1573776707373055E-3</c:v>
                </c:pt>
                <c:pt idx="583">
                  <c:v>2.7785403440216423E-3</c:v>
                </c:pt>
                <c:pt idx="584">
                  <c:v>2.8020516732144497E-3</c:v>
                </c:pt>
                <c:pt idx="585">
                  <c:v>3.0516154749840011E-3</c:v>
                </c:pt>
                <c:pt idx="586">
                  <c:v>1.6366619636321567E-2</c:v>
                </c:pt>
                <c:pt idx="587">
                  <c:v>-4.5937576636628086E-4</c:v>
                </c:pt>
                <c:pt idx="588">
                  <c:v>-1.0737588989829833E-3</c:v>
                </c:pt>
                <c:pt idx="589">
                  <c:v>-1.9317094121502109E-3</c:v>
                </c:pt>
                <c:pt idx="590">
                  <c:v>-8.0151156325911337E-3</c:v>
                </c:pt>
                <c:pt idx="591">
                  <c:v>-9.5155996525689568E-3</c:v>
                </c:pt>
                <c:pt idx="592">
                  <c:v>1.8697799676243385E-3</c:v>
                </c:pt>
                <c:pt idx="593">
                  <c:v>3.2542317700539759E-2</c:v>
                </c:pt>
                <c:pt idx="594">
                  <c:v>-5.929359943157432E-2</c:v>
                </c:pt>
                <c:pt idx="595">
                  <c:v>3.3624236742900264E-2</c:v>
                </c:pt>
                <c:pt idx="596">
                  <c:v>8.8880492775410495E-3</c:v>
                </c:pt>
                <c:pt idx="597">
                  <c:v>2.0539931466469489E-2</c:v>
                </c:pt>
                <c:pt idx="598">
                  <c:v>-1.3289382627585521E-3</c:v>
                </c:pt>
                <c:pt idx="599">
                  <c:v>2.4293140734556418E-4</c:v>
                </c:pt>
                <c:pt idx="600">
                  <c:v>2.4973129410439717E-3</c:v>
                </c:pt>
                <c:pt idx="601">
                  <c:v>3.2564994798396879E-3</c:v>
                </c:pt>
                <c:pt idx="602">
                  <c:v>2.850527883167378E-3</c:v>
                </c:pt>
                <c:pt idx="603">
                  <c:v>3.9334508189851399E-3</c:v>
                </c:pt>
                <c:pt idx="604">
                  <c:v>-1.7786131320941801E-3</c:v>
                </c:pt>
                <c:pt idx="605">
                  <c:v>2.1687361796223848E-3</c:v>
                </c:pt>
                <c:pt idx="606">
                  <c:v>-2.7962995290023852E-3</c:v>
                </c:pt>
                <c:pt idx="607">
                  <c:v>1.5637566161340888E-3</c:v>
                </c:pt>
                <c:pt idx="608">
                  <c:v>7.7938798593502794E-3</c:v>
                </c:pt>
                <c:pt idx="609">
                  <c:v>6.2180401219035491E-3</c:v>
                </c:pt>
                <c:pt idx="610">
                  <c:v>7.3610409090957779E-3</c:v>
                </c:pt>
                <c:pt idx="611">
                  <c:v>-1.4099020981929015E-3</c:v>
                </c:pt>
                <c:pt idx="612">
                  <c:v>5.4704843751908266E-3</c:v>
                </c:pt>
                <c:pt idx="613">
                  <c:v>-7.4971618222744319E-4</c:v>
                </c:pt>
                <c:pt idx="614">
                  <c:v>6.7423066233723511E-3</c:v>
                </c:pt>
                <c:pt idx="615">
                  <c:v>6.4440701624355994E-4</c:v>
                </c:pt>
                <c:pt idx="616">
                  <c:v>8.9289291897549949E-4</c:v>
                </c:pt>
                <c:pt idx="617">
                  <c:v>-1.3562113123649877E-4</c:v>
                </c:pt>
                <c:pt idx="618">
                  <c:v>4.6318210066196826E-3</c:v>
                </c:pt>
                <c:pt idx="619">
                  <c:v>-4.4509111977212015E-3</c:v>
                </c:pt>
                <c:pt idx="620">
                  <c:v>-3.4944265021057868E-4</c:v>
                </c:pt>
                <c:pt idx="621">
                  <c:v>7.657573649418015E-3</c:v>
                </c:pt>
                <c:pt idx="622">
                  <c:v>3.4506697024868104E-3</c:v>
                </c:pt>
                <c:pt idx="623">
                  <c:v>1.0697158152761367E-3</c:v>
                </c:pt>
                <c:pt idx="624">
                  <c:v>7.6321297281924504E-3</c:v>
                </c:pt>
                <c:pt idx="625">
                  <c:v>-1.0884676221012989E-2</c:v>
                </c:pt>
                <c:pt idx="626">
                  <c:v>-8.8257628765809205E-4</c:v>
                </c:pt>
                <c:pt idx="627">
                  <c:v>-1.2321559819251208E-3</c:v>
                </c:pt>
                <c:pt idx="628">
                  <c:v>-2.677831815720589E-3</c:v>
                </c:pt>
                <c:pt idx="629">
                  <c:v>-3.0312699940603425E-4</c:v>
                </c:pt>
                <c:pt idx="630">
                  <c:v>1.7567329760544533E-2</c:v>
                </c:pt>
              </c:numCache>
            </c:numRef>
          </c:xVal>
          <c:yVal>
            <c:numRef>
              <c:f>'Beta 2'!$R$30:$R$660</c:f>
              <c:numCache>
                <c:formatCode>General</c:formatCode>
                <c:ptCount val="631"/>
                <c:pt idx="0">
                  <c:v>1.7234752375384736E-3</c:v>
                </c:pt>
                <c:pt idx="1">
                  <c:v>2.8703819034318991E-2</c:v>
                </c:pt>
                <c:pt idx="2">
                  <c:v>-4.1221707550509901E-3</c:v>
                </c:pt>
                <c:pt idx="3">
                  <c:v>-1.567543906182872E-3</c:v>
                </c:pt>
                <c:pt idx="4">
                  <c:v>1.6964443967979113E-2</c:v>
                </c:pt>
                <c:pt idx="5">
                  <c:v>3.0351932463346921E-2</c:v>
                </c:pt>
                <c:pt idx="6">
                  <c:v>-8.1962732649319952E-3</c:v>
                </c:pt>
                <c:pt idx="7">
                  <c:v>2.0881287068252534E-2</c:v>
                </c:pt>
                <c:pt idx="8">
                  <c:v>-2.1682609613387579E-2</c:v>
                </c:pt>
                <c:pt idx="9">
                  <c:v>6.3429559314997939E-3</c:v>
                </c:pt>
                <c:pt idx="10">
                  <c:v>-1.0849415697946009E-2</c:v>
                </c:pt>
                <c:pt idx="11">
                  <c:v>3.126093529051693E-3</c:v>
                </c:pt>
                <c:pt idx="12">
                  <c:v>-8.7216678797657713E-3</c:v>
                </c:pt>
                <c:pt idx="13">
                  <c:v>-4.8413756943040377E-2</c:v>
                </c:pt>
                <c:pt idx="14">
                  <c:v>-1.7453879997113012E-2</c:v>
                </c:pt>
                <c:pt idx="15">
                  <c:v>1.0704340753624378E-2</c:v>
                </c:pt>
                <c:pt idx="16">
                  <c:v>4.0457139468676212E-2</c:v>
                </c:pt>
                <c:pt idx="17">
                  <c:v>-2.2203734688678027E-2</c:v>
                </c:pt>
                <c:pt idx="18">
                  <c:v>-8.3730002232458897E-2</c:v>
                </c:pt>
                <c:pt idx="19">
                  <c:v>-1.3769933859317124E-2</c:v>
                </c:pt>
                <c:pt idx="20">
                  <c:v>-1.4957706602478141E-2</c:v>
                </c:pt>
                <c:pt idx="21">
                  <c:v>2.4628753865569813E-2</c:v>
                </c:pt>
                <c:pt idx="22">
                  <c:v>-1.2131817257395637E-2</c:v>
                </c:pt>
                <c:pt idx="23">
                  <c:v>-4.5954379191741342E-2</c:v>
                </c:pt>
                <c:pt idx="24">
                  <c:v>-2.206481207848578E-2</c:v>
                </c:pt>
                <c:pt idx="25">
                  <c:v>-8.4930721532103411E-3</c:v>
                </c:pt>
                <c:pt idx="26">
                  <c:v>9.4986570932497107E-3</c:v>
                </c:pt>
                <c:pt idx="27">
                  <c:v>2.4420888199133449E-3</c:v>
                </c:pt>
                <c:pt idx="28">
                  <c:v>-2.5548457540637472E-4</c:v>
                </c:pt>
                <c:pt idx="29">
                  <c:v>-3.1014641248239227E-2</c:v>
                </c:pt>
                <c:pt idx="30">
                  <c:v>3.0081337480089693E-2</c:v>
                </c:pt>
                <c:pt idx="31">
                  <c:v>-5.2733524193842229E-3</c:v>
                </c:pt>
                <c:pt idx="32">
                  <c:v>-1.6236579106057702E-2</c:v>
                </c:pt>
                <c:pt idx="33">
                  <c:v>-6.4555609966718379E-3</c:v>
                </c:pt>
                <c:pt idx="34">
                  <c:v>-4.0785315644705764E-2</c:v>
                </c:pt>
                <c:pt idx="35">
                  <c:v>-6.4418201771279096E-3</c:v>
                </c:pt>
                <c:pt idx="36">
                  <c:v>-2.0470361646196235E-2</c:v>
                </c:pt>
                <c:pt idx="37">
                  <c:v>-6.4096193622946135E-2</c:v>
                </c:pt>
                <c:pt idx="38">
                  <c:v>4.2867240081991206E-2</c:v>
                </c:pt>
                <c:pt idx="39">
                  <c:v>-1.0438990535000314E-2</c:v>
                </c:pt>
                <c:pt idx="40">
                  <c:v>-6.6421828520574031E-2</c:v>
                </c:pt>
                <c:pt idx="41">
                  <c:v>-8.0584322965997802E-3</c:v>
                </c:pt>
                <c:pt idx="42">
                  <c:v>3.0740550286668597E-4</c:v>
                </c:pt>
                <c:pt idx="43">
                  <c:v>-9.1426966889589095E-2</c:v>
                </c:pt>
                <c:pt idx="44">
                  <c:v>-6.0191408246494701E-2</c:v>
                </c:pt>
                <c:pt idx="45">
                  <c:v>4.7987602790590292E-2</c:v>
                </c:pt>
                <c:pt idx="46">
                  <c:v>9.3555268674987618E-2</c:v>
                </c:pt>
                <c:pt idx="47">
                  <c:v>-6.3734078918239637E-2</c:v>
                </c:pt>
                <c:pt idx="48">
                  <c:v>2.3305498528358046E-2</c:v>
                </c:pt>
                <c:pt idx="49">
                  <c:v>4.946283045012987E-2</c:v>
                </c:pt>
                <c:pt idx="50">
                  <c:v>-3.8018442038552522E-2</c:v>
                </c:pt>
                <c:pt idx="51">
                  <c:v>7.6921815256057249E-2</c:v>
                </c:pt>
                <c:pt idx="52">
                  <c:v>-2.9599649951883383E-2</c:v>
                </c:pt>
                <c:pt idx="53">
                  <c:v>3.226681650076698E-2</c:v>
                </c:pt>
                <c:pt idx="54">
                  <c:v>6.8385627312565174E-3</c:v>
                </c:pt>
                <c:pt idx="55">
                  <c:v>6.8022784279493384E-3</c:v>
                </c:pt>
                <c:pt idx="56">
                  <c:v>-7.4105245167487748E-5</c:v>
                </c:pt>
                <c:pt idx="57">
                  <c:v>-4.9776811766305152E-3</c:v>
                </c:pt>
                <c:pt idx="58">
                  <c:v>-3.3678253858469884E-2</c:v>
                </c:pt>
                <c:pt idx="59">
                  <c:v>-1.6158530686377813E-2</c:v>
                </c:pt>
                <c:pt idx="60">
                  <c:v>8.1669454516980655E-2</c:v>
                </c:pt>
                <c:pt idx="61">
                  <c:v>-3.0246772115939895E-2</c:v>
                </c:pt>
                <c:pt idx="62">
                  <c:v>-2.3704914522383408E-2</c:v>
                </c:pt>
                <c:pt idx="63">
                  <c:v>-6.4515820969462461E-3</c:v>
                </c:pt>
                <c:pt idx="64">
                  <c:v>2.4007865312139942E-2</c:v>
                </c:pt>
                <c:pt idx="65">
                  <c:v>-3.6046979976742055E-2</c:v>
                </c:pt>
                <c:pt idx="66">
                  <c:v>-2.4812947978760491E-2</c:v>
                </c:pt>
                <c:pt idx="67">
                  <c:v>-2.4695064156492488E-2</c:v>
                </c:pt>
                <c:pt idx="68">
                  <c:v>5.5445054025417793E-2</c:v>
                </c:pt>
                <c:pt idx="69">
                  <c:v>-4.1841884464126396E-3</c:v>
                </c:pt>
                <c:pt idx="70">
                  <c:v>8.0533044389474433E-3</c:v>
                </c:pt>
                <c:pt idx="71">
                  <c:v>1.1383130101784055E-2</c:v>
                </c:pt>
                <c:pt idx="72">
                  <c:v>1.0000332999264155E-2</c:v>
                </c:pt>
                <c:pt idx="73">
                  <c:v>1.6875275197548067E-2</c:v>
                </c:pt>
                <c:pt idx="74">
                  <c:v>-7.4726470014006442E-3</c:v>
                </c:pt>
                <c:pt idx="75">
                  <c:v>3.0527723973166242E-2</c:v>
                </c:pt>
                <c:pt idx="76">
                  <c:v>-7.8029741037889781E-3</c:v>
                </c:pt>
                <c:pt idx="77">
                  <c:v>2.2316987335354128E-3</c:v>
                </c:pt>
                <c:pt idx="78">
                  <c:v>-5.7013764980155437E-2</c:v>
                </c:pt>
                <c:pt idx="79">
                  <c:v>-2.4686624157494136E-3</c:v>
                </c:pt>
                <c:pt idx="80">
                  <c:v>2.3009657905105851E-2</c:v>
                </c:pt>
                <c:pt idx="81">
                  <c:v>1.204768446049157E-2</c:v>
                </c:pt>
                <c:pt idx="82">
                  <c:v>-1.8597570193010018E-3</c:v>
                </c:pt>
                <c:pt idx="83">
                  <c:v>5.5988653420259923E-2</c:v>
                </c:pt>
                <c:pt idx="84">
                  <c:v>1.298199840522885E-2</c:v>
                </c:pt>
                <c:pt idx="85">
                  <c:v>-9.3474122022856494E-3</c:v>
                </c:pt>
                <c:pt idx="86">
                  <c:v>1.1567925463036702E-2</c:v>
                </c:pt>
                <c:pt idx="87">
                  <c:v>2.0136773591464704E-2</c:v>
                </c:pt>
                <c:pt idx="88">
                  <c:v>1.2263871834881796E-2</c:v>
                </c:pt>
                <c:pt idx="89">
                  <c:v>-5.5484732701882901E-2</c:v>
                </c:pt>
                <c:pt idx="90">
                  <c:v>4.9314087182273147E-2</c:v>
                </c:pt>
                <c:pt idx="91">
                  <c:v>2.0793532135894875E-2</c:v>
                </c:pt>
                <c:pt idx="92">
                  <c:v>-2.2747540248834054E-2</c:v>
                </c:pt>
                <c:pt idx="93">
                  <c:v>2.7845472259805871E-2</c:v>
                </c:pt>
                <c:pt idx="94">
                  <c:v>2.2005009802059515E-2</c:v>
                </c:pt>
                <c:pt idx="95">
                  <c:v>1.2258143264191387E-3</c:v>
                </c:pt>
                <c:pt idx="96">
                  <c:v>7.5723123850610942E-4</c:v>
                </c:pt>
                <c:pt idx="97">
                  <c:v>1.4145330277845756E-2</c:v>
                </c:pt>
                <c:pt idx="98">
                  <c:v>-1.7790092344139464E-2</c:v>
                </c:pt>
                <c:pt idx="99">
                  <c:v>2.4754854018391684E-2</c:v>
                </c:pt>
                <c:pt idx="100">
                  <c:v>1.4691295707018924E-2</c:v>
                </c:pt>
                <c:pt idx="101">
                  <c:v>4.6210064920199426E-2</c:v>
                </c:pt>
                <c:pt idx="102">
                  <c:v>-8.5640311597224988E-3</c:v>
                </c:pt>
                <c:pt idx="103">
                  <c:v>-1.3220811843733055E-2</c:v>
                </c:pt>
                <c:pt idx="104">
                  <c:v>6.4947648269288033E-3</c:v>
                </c:pt>
                <c:pt idx="105">
                  <c:v>4.7086320884018873E-2</c:v>
                </c:pt>
                <c:pt idx="106">
                  <c:v>-4.7751161746880941E-3</c:v>
                </c:pt>
                <c:pt idx="107">
                  <c:v>-5.976483745155069E-3</c:v>
                </c:pt>
                <c:pt idx="108">
                  <c:v>9.99333978716576E-3</c:v>
                </c:pt>
                <c:pt idx="109">
                  <c:v>-7.7552642225850888E-5</c:v>
                </c:pt>
                <c:pt idx="110">
                  <c:v>2.1683055552659883E-3</c:v>
                </c:pt>
                <c:pt idx="111">
                  <c:v>-1.9272282359698016E-2</c:v>
                </c:pt>
                <c:pt idx="112">
                  <c:v>-2.5759058498288356E-2</c:v>
                </c:pt>
                <c:pt idx="113">
                  <c:v>-4.7955290402540368E-3</c:v>
                </c:pt>
                <c:pt idx="114">
                  <c:v>-5.6826809590153739E-4</c:v>
                </c:pt>
                <c:pt idx="115">
                  <c:v>-1.8910652976073271E-2</c:v>
                </c:pt>
                <c:pt idx="116">
                  <c:v>-3.8203801083434401E-3</c:v>
                </c:pt>
                <c:pt idx="117">
                  <c:v>1.5015699518387051E-2</c:v>
                </c:pt>
                <c:pt idx="118">
                  <c:v>-9.2798534794822224E-3</c:v>
                </c:pt>
                <c:pt idx="119">
                  <c:v>-2.9239746724250001E-2</c:v>
                </c:pt>
                <c:pt idx="120">
                  <c:v>-2.8571225318090612E-2</c:v>
                </c:pt>
                <c:pt idx="121">
                  <c:v>1.5473439563220816E-2</c:v>
                </c:pt>
                <c:pt idx="122">
                  <c:v>1.6211927709734897E-2</c:v>
                </c:pt>
                <c:pt idx="123">
                  <c:v>1.1437666771980701E-2</c:v>
                </c:pt>
                <c:pt idx="124">
                  <c:v>-2.6452452393181017E-2</c:v>
                </c:pt>
                <c:pt idx="125">
                  <c:v>-8.2581236370830119E-2</c:v>
                </c:pt>
                <c:pt idx="126">
                  <c:v>1.2063858591105345E-2</c:v>
                </c:pt>
                <c:pt idx="127">
                  <c:v>1.4776572315057256E-2</c:v>
                </c:pt>
                <c:pt idx="128">
                  <c:v>-3.2230653457274758E-2</c:v>
                </c:pt>
                <c:pt idx="129">
                  <c:v>5.0218729894137157E-2</c:v>
                </c:pt>
                <c:pt idx="130">
                  <c:v>7.1789242147832E-2</c:v>
                </c:pt>
                <c:pt idx="131">
                  <c:v>1.0867032655590898E-2</c:v>
                </c:pt>
                <c:pt idx="132">
                  <c:v>-2.1124767125672048E-2</c:v>
                </c:pt>
                <c:pt idx="133">
                  <c:v>9.9493612228744518E-3</c:v>
                </c:pt>
                <c:pt idx="134">
                  <c:v>-2.7009488259833084E-2</c:v>
                </c:pt>
                <c:pt idx="135">
                  <c:v>-9.3590982062602274E-3</c:v>
                </c:pt>
                <c:pt idx="136">
                  <c:v>2.2958507127050352E-2</c:v>
                </c:pt>
                <c:pt idx="137">
                  <c:v>4.1041115993061143E-2</c:v>
                </c:pt>
                <c:pt idx="138">
                  <c:v>-2.4723590866504028E-2</c:v>
                </c:pt>
                <c:pt idx="139">
                  <c:v>-2.5689901224365222E-2</c:v>
                </c:pt>
                <c:pt idx="140">
                  <c:v>-1.133890366169539E-2</c:v>
                </c:pt>
                <c:pt idx="141">
                  <c:v>-8.3995405088118837E-3</c:v>
                </c:pt>
                <c:pt idx="142">
                  <c:v>6.2003003884153318E-3</c:v>
                </c:pt>
                <c:pt idx="143">
                  <c:v>-3.4168885647853607E-2</c:v>
                </c:pt>
                <c:pt idx="144">
                  <c:v>2.3471567169279402E-3</c:v>
                </c:pt>
                <c:pt idx="145">
                  <c:v>4.902437995663074E-2</c:v>
                </c:pt>
                <c:pt idx="146">
                  <c:v>-1.0442361179054019E-2</c:v>
                </c:pt>
                <c:pt idx="147">
                  <c:v>-3.4336867435668132E-3</c:v>
                </c:pt>
                <c:pt idx="148">
                  <c:v>6.3056906243852181E-3</c:v>
                </c:pt>
                <c:pt idx="149">
                  <c:v>6.5408738335286471E-3</c:v>
                </c:pt>
                <c:pt idx="150">
                  <c:v>8.8269648464004494E-3</c:v>
                </c:pt>
                <c:pt idx="151">
                  <c:v>7.4399839024854144E-3</c:v>
                </c:pt>
                <c:pt idx="152">
                  <c:v>1.1603632178625915E-2</c:v>
                </c:pt>
                <c:pt idx="153">
                  <c:v>-7.1773342286084322E-3</c:v>
                </c:pt>
                <c:pt idx="154">
                  <c:v>6.1209597868215004E-2</c:v>
                </c:pt>
                <c:pt idx="155">
                  <c:v>2.4648071246651019E-3</c:v>
                </c:pt>
                <c:pt idx="156">
                  <c:v>-3.9884356296939094E-2</c:v>
                </c:pt>
                <c:pt idx="157">
                  <c:v>3.0675681747256937E-3</c:v>
                </c:pt>
                <c:pt idx="158">
                  <c:v>-1.1583291922910929E-2</c:v>
                </c:pt>
                <c:pt idx="159">
                  <c:v>-6.6853148085358582E-2</c:v>
                </c:pt>
                <c:pt idx="160">
                  <c:v>-3.7661691088993953E-3</c:v>
                </c:pt>
                <c:pt idx="161">
                  <c:v>-1.4969720566393655E-2</c:v>
                </c:pt>
                <c:pt idx="162">
                  <c:v>-2.9772090478037225E-2</c:v>
                </c:pt>
                <c:pt idx="163">
                  <c:v>-1.5222798920172011E-4</c:v>
                </c:pt>
                <c:pt idx="164">
                  <c:v>6.2782993180948189E-3</c:v>
                </c:pt>
                <c:pt idx="165">
                  <c:v>-1.8375908155496983E-2</c:v>
                </c:pt>
                <c:pt idx="166">
                  <c:v>-1.8336740856656479E-2</c:v>
                </c:pt>
                <c:pt idx="167">
                  <c:v>2.843203003770476E-3</c:v>
                </c:pt>
                <c:pt idx="168">
                  <c:v>1.4432169447735295E-2</c:v>
                </c:pt>
                <c:pt idx="169">
                  <c:v>-1.9275277725856084E-2</c:v>
                </c:pt>
                <c:pt idx="170">
                  <c:v>-1.5447534869092104E-2</c:v>
                </c:pt>
                <c:pt idx="171">
                  <c:v>2.9470584972107874E-2</c:v>
                </c:pt>
                <c:pt idx="172">
                  <c:v>-4.6955110006178691E-2</c:v>
                </c:pt>
                <c:pt idx="173">
                  <c:v>2.4704310458960044E-2</c:v>
                </c:pt>
                <c:pt idx="174">
                  <c:v>1.5198686270295428E-2</c:v>
                </c:pt>
                <c:pt idx="175">
                  <c:v>-7.577906047371877E-3</c:v>
                </c:pt>
                <c:pt idx="176">
                  <c:v>3.8963253770798567E-2</c:v>
                </c:pt>
                <c:pt idx="177">
                  <c:v>3.7834947240111223E-2</c:v>
                </c:pt>
                <c:pt idx="178">
                  <c:v>-4.3138603874379788E-2</c:v>
                </c:pt>
                <c:pt idx="179">
                  <c:v>-2.2692261175480091E-2</c:v>
                </c:pt>
                <c:pt idx="180">
                  <c:v>1.6762410001194888E-3</c:v>
                </c:pt>
                <c:pt idx="181">
                  <c:v>-4.3403350261527161E-2</c:v>
                </c:pt>
                <c:pt idx="182">
                  <c:v>-1.1502505067594421E-2</c:v>
                </c:pt>
                <c:pt idx="183">
                  <c:v>-2.5750710981509981E-2</c:v>
                </c:pt>
                <c:pt idx="184">
                  <c:v>5.3085652421946189E-3</c:v>
                </c:pt>
                <c:pt idx="185">
                  <c:v>-5.0082281376004567E-2</c:v>
                </c:pt>
                <c:pt idx="186">
                  <c:v>-2.2561249641453264E-2</c:v>
                </c:pt>
                <c:pt idx="187">
                  <c:v>8.9860695928840125E-4</c:v>
                </c:pt>
                <c:pt idx="188">
                  <c:v>-1.7935682068750984E-3</c:v>
                </c:pt>
                <c:pt idx="189">
                  <c:v>-1.2494742299280727E-3</c:v>
                </c:pt>
                <c:pt idx="190">
                  <c:v>-6.8489617030696448E-2</c:v>
                </c:pt>
                <c:pt idx="191">
                  <c:v>3.2536628101823437E-2</c:v>
                </c:pt>
                <c:pt idx="192">
                  <c:v>1.063843814075135E-2</c:v>
                </c:pt>
                <c:pt idx="193">
                  <c:v>6.9932512800046795E-2</c:v>
                </c:pt>
                <c:pt idx="194">
                  <c:v>-2.7436151908821628E-2</c:v>
                </c:pt>
                <c:pt idx="195">
                  <c:v>-7.0647331297975747E-3</c:v>
                </c:pt>
                <c:pt idx="196">
                  <c:v>-3.6200586241076083E-2</c:v>
                </c:pt>
                <c:pt idx="197">
                  <c:v>4.5535470705708615E-3</c:v>
                </c:pt>
                <c:pt idx="198">
                  <c:v>4.3228733382434451E-3</c:v>
                </c:pt>
                <c:pt idx="199">
                  <c:v>6.4729673423787005E-3</c:v>
                </c:pt>
                <c:pt idx="200">
                  <c:v>4.042478402205097E-2</c:v>
                </c:pt>
                <c:pt idx="201">
                  <c:v>-5.7833838162725795E-3</c:v>
                </c:pt>
                <c:pt idx="202">
                  <c:v>2.3011546344316614E-2</c:v>
                </c:pt>
                <c:pt idx="203">
                  <c:v>4.1272738038756897E-2</c:v>
                </c:pt>
                <c:pt idx="204">
                  <c:v>1.3657936082920631E-2</c:v>
                </c:pt>
                <c:pt idx="205">
                  <c:v>1.3196326923817172E-2</c:v>
                </c:pt>
                <c:pt idx="206">
                  <c:v>-1.3046171720622423E-2</c:v>
                </c:pt>
                <c:pt idx="207">
                  <c:v>8.8981150076294386E-3</c:v>
                </c:pt>
                <c:pt idx="208">
                  <c:v>-1.7490476611861437E-3</c:v>
                </c:pt>
                <c:pt idx="209">
                  <c:v>5.2976818197292358E-2</c:v>
                </c:pt>
                <c:pt idx="210">
                  <c:v>5.751551904936817E-3</c:v>
                </c:pt>
                <c:pt idx="211">
                  <c:v>1.6287879826711114E-2</c:v>
                </c:pt>
                <c:pt idx="212">
                  <c:v>8.036349503643828E-3</c:v>
                </c:pt>
                <c:pt idx="213">
                  <c:v>1.046758201041721E-2</c:v>
                </c:pt>
                <c:pt idx="214">
                  <c:v>-3.2479784382866265E-3</c:v>
                </c:pt>
                <c:pt idx="215">
                  <c:v>-6.8883436403089074E-3</c:v>
                </c:pt>
                <c:pt idx="216">
                  <c:v>4.3664468552101952E-2</c:v>
                </c:pt>
                <c:pt idx="217">
                  <c:v>2.8208409634294541E-2</c:v>
                </c:pt>
                <c:pt idx="218">
                  <c:v>3.3469224184175611E-2</c:v>
                </c:pt>
                <c:pt idx="219">
                  <c:v>-7.855227209620088E-3</c:v>
                </c:pt>
                <c:pt idx="220">
                  <c:v>4.8930240097370042E-2</c:v>
                </c:pt>
                <c:pt idx="221">
                  <c:v>2.3259653221828106E-2</c:v>
                </c:pt>
                <c:pt idx="222">
                  <c:v>-4.739064265989479E-3</c:v>
                </c:pt>
                <c:pt idx="223">
                  <c:v>-2.2411500252624044E-2</c:v>
                </c:pt>
                <c:pt idx="224">
                  <c:v>7.0941472543504039E-2</c:v>
                </c:pt>
                <c:pt idx="225">
                  <c:v>-3.1926285008186561E-2</c:v>
                </c:pt>
                <c:pt idx="226">
                  <c:v>-9.2522419240634781E-3</c:v>
                </c:pt>
                <c:pt idx="227">
                  <c:v>-9.236153011424629E-3</c:v>
                </c:pt>
                <c:pt idx="228">
                  <c:v>-2.1673025384066598E-3</c:v>
                </c:pt>
                <c:pt idx="229">
                  <c:v>9.6197611026401161E-3</c:v>
                </c:pt>
                <c:pt idx="230">
                  <c:v>1.2055547971448829E-2</c:v>
                </c:pt>
                <c:pt idx="231">
                  <c:v>2.0316892158069554E-3</c:v>
                </c:pt>
                <c:pt idx="232">
                  <c:v>-5.4783881526463893E-3</c:v>
                </c:pt>
                <c:pt idx="233">
                  <c:v>8.1653915847233001E-4</c:v>
                </c:pt>
                <c:pt idx="234">
                  <c:v>1.2345347421269446E-2</c:v>
                </c:pt>
                <c:pt idx="235">
                  <c:v>-7.9762536211038957E-4</c:v>
                </c:pt>
                <c:pt idx="236">
                  <c:v>-7.7776857401564998E-5</c:v>
                </c:pt>
                <c:pt idx="237">
                  <c:v>7.2967168419233374E-3</c:v>
                </c:pt>
                <c:pt idx="238">
                  <c:v>-1.1914756579962731E-2</c:v>
                </c:pt>
                <c:pt idx="239">
                  <c:v>-2.8988178027821363E-2</c:v>
                </c:pt>
                <c:pt idx="240">
                  <c:v>-1.2578649526638017E-2</c:v>
                </c:pt>
                <c:pt idx="241">
                  <c:v>2.6565857992945929E-2</c:v>
                </c:pt>
                <c:pt idx="242">
                  <c:v>-1.3011295131896486E-2</c:v>
                </c:pt>
                <c:pt idx="243">
                  <c:v>1.9704443785785342E-2</c:v>
                </c:pt>
                <c:pt idx="244">
                  <c:v>-1.0030557429082761E-2</c:v>
                </c:pt>
                <c:pt idx="245">
                  <c:v>-3.0892178459954879E-2</c:v>
                </c:pt>
                <c:pt idx="246">
                  <c:v>-1.6673246984844327E-2</c:v>
                </c:pt>
                <c:pt idx="247">
                  <c:v>1.1139466076167738E-2</c:v>
                </c:pt>
                <c:pt idx="248">
                  <c:v>-1.7918534227026859E-2</c:v>
                </c:pt>
                <c:pt idx="249">
                  <c:v>2.0010679798970969E-2</c:v>
                </c:pt>
                <c:pt idx="250">
                  <c:v>-1.1930192925057852E-2</c:v>
                </c:pt>
                <c:pt idx="251">
                  <c:v>1.2393262421384556E-2</c:v>
                </c:pt>
                <c:pt idx="252">
                  <c:v>4.8429003218190599E-3</c:v>
                </c:pt>
                <c:pt idx="253">
                  <c:v>-1.1907415827679579E-2</c:v>
                </c:pt>
                <c:pt idx="254">
                  <c:v>1.4800938041148039E-2</c:v>
                </c:pt>
                <c:pt idx="255">
                  <c:v>-1.2871012277375624E-2</c:v>
                </c:pt>
                <c:pt idx="256">
                  <c:v>2.4214855224826606E-2</c:v>
                </c:pt>
                <c:pt idx="257">
                  <c:v>-5.6590244184803705E-3</c:v>
                </c:pt>
                <c:pt idx="258">
                  <c:v>6.3710397488610779E-2</c:v>
                </c:pt>
                <c:pt idx="259">
                  <c:v>-8.4705637769815563E-4</c:v>
                </c:pt>
                <c:pt idx="260">
                  <c:v>8.4228211350645277E-3</c:v>
                </c:pt>
                <c:pt idx="261">
                  <c:v>-9.09443873040304E-3</c:v>
                </c:pt>
                <c:pt idx="262">
                  <c:v>4.6260607266745812E-3</c:v>
                </c:pt>
                <c:pt idx="263">
                  <c:v>1.1111730818018315E-2</c:v>
                </c:pt>
                <c:pt idx="264">
                  <c:v>1.7505734455217803E-2</c:v>
                </c:pt>
                <c:pt idx="265">
                  <c:v>1.7894170665781892E-2</c:v>
                </c:pt>
                <c:pt idx="266">
                  <c:v>7.944111369576675E-3</c:v>
                </c:pt>
                <c:pt idx="267">
                  <c:v>-4.5314796084746185E-3</c:v>
                </c:pt>
                <c:pt idx="268">
                  <c:v>2.0407151701844737E-2</c:v>
                </c:pt>
                <c:pt idx="269">
                  <c:v>-3.2393756348462303E-2</c:v>
                </c:pt>
                <c:pt idx="270">
                  <c:v>8.4867452125922845E-3</c:v>
                </c:pt>
                <c:pt idx="271">
                  <c:v>3.5288496288457538E-2</c:v>
                </c:pt>
                <c:pt idx="272">
                  <c:v>5.9044722530501789E-3</c:v>
                </c:pt>
                <c:pt idx="273">
                  <c:v>-1.0559330750019309E-2</c:v>
                </c:pt>
                <c:pt idx="274">
                  <c:v>2.6486008310031891E-2</c:v>
                </c:pt>
                <c:pt idx="275">
                  <c:v>2.8587300434198642E-2</c:v>
                </c:pt>
                <c:pt idx="276">
                  <c:v>-7.1922532032915217E-3</c:v>
                </c:pt>
                <c:pt idx="277">
                  <c:v>-1.7179161636930902E-2</c:v>
                </c:pt>
                <c:pt idx="278">
                  <c:v>3.8394498749754792E-3</c:v>
                </c:pt>
                <c:pt idx="279">
                  <c:v>3.6667614973121446E-2</c:v>
                </c:pt>
                <c:pt idx="280">
                  <c:v>-4.1921527139529274E-3</c:v>
                </c:pt>
                <c:pt idx="281">
                  <c:v>-2.6533198492917003E-2</c:v>
                </c:pt>
                <c:pt idx="282">
                  <c:v>-3.9796714412887449E-3</c:v>
                </c:pt>
                <c:pt idx="283">
                  <c:v>4.2839675760294321E-3</c:v>
                </c:pt>
                <c:pt idx="284">
                  <c:v>-8.1676927882612512E-4</c:v>
                </c:pt>
                <c:pt idx="285">
                  <c:v>-9.6195670492045509E-3</c:v>
                </c:pt>
                <c:pt idx="286">
                  <c:v>9.387342008884633E-4</c:v>
                </c:pt>
                <c:pt idx="287">
                  <c:v>1.4651108308102834E-3</c:v>
                </c:pt>
                <c:pt idx="288">
                  <c:v>1.2183135348941436E-2</c:v>
                </c:pt>
                <c:pt idx="289">
                  <c:v>1.1025652298231122E-2</c:v>
                </c:pt>
                <c:pt idx="290">
                  <c:v>-8.594058501981831E-3</c:v>
                </c:pt>
                <c:pt idx="291">
                  <c:v>2.1382457609502926E-4</c:v>
                </c:pt>
                <c:pt idx="292">
                  <c:v>-1.1874873440743207E-2</c:v>
                </c:pt>
                <c:pt idx="293">
                  <c:v>-1.1620018004338886E-3</c:v>
                </c:pt>
                <c:pt idx="294">
                  <c:v>2.6703000823663243E-3</c:v>
                </c:pt>
                <c:pt idx="295">
                  <c:v>2.2047476076099904E-2</c:v>
                </c:pt>
                <c:pt idx="296">
                  <c:v>-1.5840273537742629E-3</c:v>
                </c:pt>
                <c:pt idx="297">
                  <c:v>1.8858841541907805E-2</c:v>
                </c:pt>
                <c:pt idx="298">
                  <c:v>-6.3564864246568598E-3</c:v>
                </c:pt>
                <c:pt idx="299">
                  <c:v>-2.7028963960925552E-3</c:v>
                </c:pt>
                <c:pt idx="300">
                  <c:v>2.2735492234421475E-2</c:v>
                </c:pt>
                <c:pt idx="301">
                  <c:v>1.3208857786840269E-4</c:v>
                </c:pt>
                <c:pt idx="302">
                  <c:v>-1.1543773196532981E-2</c:v>
                </c:pt>
                <c:pt idx="303">
                  <c:v>-4.0440041049938204E-3</c:v>
                </c:pt>
                <c:pt idx="304">
                  <c:v>8.4048535376715083E-3</c:v>
                </c:pt>
                <c:pt idx="305">
                  <c:v>-1.5940763465743111E-2</c:v>
                </c:pt>
                <c:pt idx="306">
                  <c:v>-6.0669328063590031E-2</c:v>
                </c:pt>
                <c:pt idx="307">
                  <c:v>7.0908255363028045E-3</c:v>
                </c:pt>
                <c:pt idx="308">
                  <c:v>-0.10662313142216003</c:v>
                </c:pt>
                <c:pt idx="309">
                  <c:v>1.9173261939725305E-2</c:v>
                </c:pt>
                <c:pt idx="310">
                  <c:v>9.2022889006917984E-3</c:v>
                </c:pt>
                <c:pt idx="311">
                  <c:v>-5.655274983628172E-3</c:v>
                </c:pt>
                <c:pt idx="312">
                  <c:v>3.9911336521819288E-2</c:v>
                </c:pt>
                <c:pt idx="313">
                  <c:v>-3.1687222222989151E-3</c:v>
                </c:pt>
                <c:pt idx="314">
                  <c:v>4.6170100417799089E-3</c:v>
                </c:pt>
                <c:pt idx="315">
                  <c:v>-4.0334914803651756E-2</c:v>
                </c:pt>
                <c:pt idx="316">
                  <c:v>1.3119051835775346E-2</c:v>
                </c:pt>
                <c:pt idx="317">
                  <c:v>1.3538816226646913E-2</c:v>
                </c:pt>
                <c:pt idx="318">
                  <c:v>1.2513107068967156E-2</c:v>
                </c:pt>
                <c:pt idx="319">
                  <c:v>1.884246878558412E-2</c:v>
                </c:pt>
                <c:pt idx="320">
                  <c:v>1.8058403613609546E-3</c:v>
                </c:pt>
                <c:pt idx="321">
                  <c:v>1.4557075682361479E-3</c:v>
                </c:pt>
                <c:pt idx="322">
                  <c:v>-5.4953660535129213E-2</c:v>
                </c:pt>
                <c:pt idx="323">
                  <c:v>-2.0878079575374905E-2</c:v>
                </c:pt>
                <c:pt idx="324">
                  <c:v>1.0401030402251051E-2</c:v>
                </c:pt>
                <c:pt idx="325">
                  <c:v>7.7069461366160363E-3</c:v>
                </c:pt>
                <c:pt idx="326">
                  <c:v>8.2750320888642665E-3</c:v>
                </c:pt>
                <c:pt idx="327">
                  <c:v>-5.2855799644310121E-2</c:v>
                </c:pt>
                <c:pt idx="328">
                  <c:v>-3.1031497972879941E-2</c:v>
                </c:pt>
                <c:pt idx="329">
                  <c:v>6.4362425106246077E-3</c:v>
                </c:pt>
                <c:pt idx="330">
                  <c:v>1.4227834177633677E-2</c:v>
                </c:pt>
                <c:pt idx="331">
                  <c:v>4.1695159039163883E-3</c:v>
                </c:pt>
                <c:pt idx="332">
                  <c:v>-2.9720115300880433E-2</c:v>
                </c:pt>
                <c:pt idx="333">
                  <c:v>-2.445843494025757E-3</c:v>
                </c:pt>
                <c:pt idx="334">
                  <c:v>-4.817369989764136E-4</c:v>
                </c:pt>
                <c:pt idx="335">
                  <c:v>2.0134833649743132E-2</c:v>
                </c:pt>
                <c:pt idx="336">
                  <c:v>1.1821539678511426E-3</c:v>
                </c:pt>
                <c:pt idx="337">
                  <c:v>1.0167906618616659E-2</c:v>
                </c:pt>
                <c:pt idx="338">
                  <c:v>2.1273331865167656E-2</c:v>
                </c:pt>
                <c:pt idx="339">
                  <c:v>-5.3559647688776937E-3</c:v>
                </c:pt>
                <c:pt idx="340">
                  <c:v>3.5546011069359741E-3</c:v>
                </c:pt>
                <c:pt idx="341">
                  <c:v>-1.4663087470549595E-3</c:v>
                </c:pt>
                <c:pt idx="342">
                  <c:v>2.3235475065123447E-2</c:v>
                </c:pt>
                <c:pt idx="343">
                  <c:v>3.350724750037111E-2</c:v>
                </c:pt>
                <c:pt idx="344">
                  <c:v>-1.3149807370017723E-2</c:v>
                </c:pt>
                <c:pt idx="345">
                  <c:v>-2.440247089015396E-2</c:v>
                </c:pt>
                <c:pt idx="346">
                  <c:v>3.6246978979355755E-2</c:v>
                </c:pt>
                <c:pt idx="347">
                  <c:v>2.4925821899188298E-2</c:v>
                </c:pt>
                <c:pt idx="348">
                  <c:v>5.3337944401719024E-2</c:v>
                </c:pt>
                <c:pt idx="349">
                  <c:v>2.5424233836909591E-2</c:v>
                </c:pt>
                <c:pt idx="350">
                  <c:v>1.8999994264378799E-2</c:v>
                </c:pt>
                <c:pt idx="351">
                  <c:v>7.6209569963344246E-3</c:v>
                </c:pt>
                <c:pt idx="352">
                  <c:v>7.9392404174903879E-3</c:v>
                </c:pt>
                <c:pt idx="353">
                  <c:v>8.0203030085982674E-3</c:v>
                </c:pt>
                <c:pt idx="354">
                  <c:v>-1.7660690269808134E-2</c:v>
                </c:pt>
                <c:pt idx="355">
                  <c:v>-2.2721735452957446E-2</c:v>
                </c:pt>
                <c:pt idx="356">
                  <c:v>4.11706461193132E-3</c:v>
                </c:pt>
                <c:pt idx="357">
                  <c:v>2.1344472854639821E-3</c:v>
                </c:pt>
                <c:pt idx="358">
                  <c:v>8.3347433706292343E-5</c:v>
                </c:pt>
                <c:pt idx="359">
                  <c:v>-1.1960967918931554E-2</c:v>
                </c:pt>
                <c:pt idx="360">
                  <c:v>-1.6320752105574841E-2</c:v>
                </c:pt>
                <c:pt idx="361">
                  <c:v>1.132007288305029E-2</c:v>
                </c:pt>
                <c:pt idx="362">
                  <c:v>3.558834034431349E-2</c:v>
                </c:pt>
                <c:pt idx="363">
                  <c:v>1.3701009316818506E-3</c:v>
                </c:pt>
                <c:pt idx="364">
                  <c:v>3.7809904609945248E-3</c:v>
                </c:pt>
                <c:pt idx="365">
                  <c:v>7.036401957838662E-3</c:v>
                </c:pt>
                <c:pt idx="366">
                  <c:v>2.5578040922359269E-2</c:v>
                </c:pt>
                <c:pt idx="367">
                  <c:v>-1.2251821007729684E-2</c:v>
                </c:pt>
                <c:pt idx="368">
                  <c:v>-6.4005186932898656E-3</c:v>
                </c:pt>
                <c:pt idx="369">
                  <c:v>7.812784160445993E-3</c:v>
                </c:pt>
                <c:pt idx="370">
                  <c:v>-1.7322918752524744E-2</c:v>
                </c:pt>
                <c:pt idx="371">
                  <c:v>-2.6694138373500084E-2</c:v>
                </c:pt>
                <c:pt idx="372">
                  <c:v>-1.7669909269361389E-3</c:v>
                </c:pt>
                <c:pt idx="373">
                  <c:v>-1.2352298592306882E-2</c:v>
                </c:pt>
                <c:pt idx="374">
                  <c:v>-4.9842903543400631E-3</c:v>
                </c:pt>
                <c:pt idx="375">
                  <c:v>1.5712953839707871E-2</c:v>
                </c:pt>
                <c:pt idx="376">
                  <c:v>1.5531246983213452E-2</c:v>
                </c:pt>
                <c:pt idx="377">
                  <c:v>7.4695895622717964E-3</c:v>
                </c:pt>
                <c:pt idx="378">
                  <c:v>5.6214141995739701E-3</c:v>
                </c:pt>
                <c:pt idx="379">
                  <c:v>3.4055036824487141E-3</c:v>
                </c:pt>
                <c:pt idx="380">
                  <c:v>1.6118852661742837E-2</c:v>
                </c:pt>
                <c:pt idx="381">
                  <c:v>-9.1766904901762168E-3</c:v>
                </c:pt>
                <c:pt idx="382">
                  <c:v>-1.0031411668233684E-3</c:v>
                </c:pt>
                <c:pt idx="383">
                  <c:v>-3.6413364109903899E-3</c:v>
                </c:pt>
                <c:pt idx="384">
                  <c:v>-2.860918277058401E-2</c:v>
                </c:pt>
                <c:pt idx="385">
                  <c:v>-1.1994812188224478E-2</c:v>
                </c:pt>
                <c:pt idx="386">
                  <c:v>-4.1755433178359981E-2</c:v>
                </c:pt>
                <c:pt idx="387">
                  <c:v>2.1269151961877644E-2</c:v>
                </c:pt>
                <c:pt idx="388">
                  <c:v>9.3778061789592058E-3</c:v>
                </c:pt>
                <c:pt idx="389">
                  <c:v>8.6497120523002791E-3</c:v>
                </c:pt>
                <c:pt idx="390">
                  <c:v>2.8608756343246094E-2</c:v>
                </c:pt>
                <c:pt idx="391">
                  <c:v>1.7793141711011033E-2</c:v>
                </c:pt>
                <c:pt idx="392">
                  <c:v>4.4486384028085586E-3</c:v>
                </c:pt>
                <c:pt idx="393">
                  <c:v>-3.7120057161880949E-3</c:v>
                </c:pt>
                <c:pt idx="394">
                  <c:v>8.882376058044884E-3</c:v>
                </c:pt>
                <c:pt idx="395">
                  <c:v>3.4255929691129252E-3</c:v>
                </c:pt>
                <c:pt idx="396">
                  <c:v>7.8331965713511042E-3</c:v>
                </c:pt>
                <c:pt idx="397">
                  <c:v>5.4066388691761643E-3</c:v>
                </c:pt>
                <c:pt idx="398">
                  <c:v>3.0561871328977259E-3</c:v>
                </c:pt>
                <c:pt idx="399">
                  <c:v>-1.8049414171353084E-2</c:v>
                </c:pt>
                <c:pt idx="400">
                  <c:v>2.198145630065174E-3</c:v>
                </c:pt>
                <c:pt idx="401">
                  <c:v>4.7462940393461148E-2</c:v>
                </c:pt>
                <c:pt idx="402">
                  <c:v>-1.3454668298510936E-2</c:v>
                </c:pt>
                <c:pt idx="403">
                  <c:v>9.5496662480083479E-4</c:v>
                </c:pt>
                <c:pt idx="404">
                  <c:v>-1.2360740794856538E-2</c:v>
                </c:pt>
                <c:pt idx="405">
                  <c:v>-1.9838197526025336E-2</c:v>
                </c:pt>
                <c:pt idx="406">
                  <c:v>-1.1904865014403663E-2</c:v>
                </c:pt>
                <c:pt idx="407">
                  <c:v>7.6803901183661021E-3</c:v>
                </c:pt>
                <c:pt idx="408">
                  <c:v>-1.02269521046554E-2</c:v>
                </c:pt>
                <c:pt idx="409">
                  <c:v>-1.6356846409817785E-2</c:v>
                </c:pt>
                <c:pt idx="410">
                  <c:v>5.947139591874125E-3</c:v>
                </c:pt>
                <c:pt idx="411">
                  <c:v>2.1860056200093715E-3</c:v>
                </c:pt>
                <c:pt idx="412">
                  <c:v>-8.630938378259078E-3</c:v>
                </c:pt>
                <c:pt idx="413">
                  <c:v>1.3338134228691912E-3</c:v>
                </c:pt>
                <c:pt idx="414">
                  <c:v>-7.4861095034229651E-3</c:v>
                </c:pt>
                <c:pt idx="415">
                  <c:v>-1.1334962844981384E-2</c:v>
                </c:pt>
                <c:pt idx="416">
                  <c:v>-1.3334484395589631E-2</c:v>
                </c:pt>
                <c:pt idx="417">
                  <c:v>-9.7250734262855146E-3</c:v>
                </c:pt>
                <c:pt idx="418">
                  <c:v>-3.3035203099765621E-3</c:v>
                </c:pt>
                <c:pt idx="419">
                  <c:v>2.1941759841640096E-2</c:v>
                </c:pt>
                <c:pt idx="420">
                  <c:v>1.6098164178542863E-2</c:v>
                </c:pt>
                <c:pt idx="421">
                  <c:v>-8.5850063015781367E-3</c:v>
                </c:pt>
                <c:pt idx="422">
                  <c:v>-1.0308632473528747E-2</c:v>
                </c:pt>
                <c:pt idx="423">
                  <c:v>1.4525789441286734E-2</c:v>
                </c:pt>
                <c:pt idx="424">
                  <c:v>6.8340788614365787E-3</c:v>
                </c:pt>
                <c:pt idx="425">
                  <c:v>-1.0465050345821797E-2</c:v>
                </c:pt>
                <c:pt idx="426">
                  <c:v>3.5437652254499299E-3</c:v>
                </c:pt>
                <c:pt idx="427">
                  <c:v>-1.5078254743604571E-2</c:v>
                </c:pt>
                <c:pt idx="428">
                  <c:v>-4.8866771716679297E-3</c:v>
                </c:pt>
                <c:pt idx="429">
                  <c:v>-1.1853855915247085E-2</c:v>
                </c:pt>
                <c:pt idx="430">
                  <c:v>1.0766986691994255E-2</c:v>
                </c:pt>
                <c:pt idx="431">
                  <c:v>-3.4952857602316562E-2</c:v>
                </c:pt>
                <c:pt idx="432">
                  <c:v>-1.1360602337602875E-2</c:v>
                </c:pt>
                <c:pt idx="433">
                  <c:v>2.0805795861412627E-2</c:v>
                </c:pt>
                <c:pt idx="434">
                  <c:v>-7.6092007780362899E-4</c:v>
                </c:pt>
                <c:pt idx="435">
                  <c:v>-3.9232771911954491E-2</c:v>
                </c:pt>
                <c:pt idx="436">
                  <c:v>4.7896877947602869E-2</c:v>
                </c:pt>
                <c:pt idx="437">
                  <c:v>-6.2820307665010311E-3</c:v>
                </c:pt>
                <c:pt idx="438">
                  <c:v>-1.699272272930898E-2</c:v>
                </c:pt>
                <c:pt idx="439">
                  <c:v>1.2115804263672177E-2</c:v>
                </c:pt>
                <c:pt idx="440">
                  <c:v>2.2187590985695079E-3</c:v>
                </c:pt>
                <c:pt idx="441">
                  <c:v>-1.9180844063796561E-2</c:v>
                </c:pt>
                <c:pt idx="442">
                  <c:v>-1.0255442211352999E-2</c:v>
                </c:pt>
                <c:pt idx="443">
                  <c:v>-2.0051121329383415E-2</c:v>
                </c:pt>
                <c:pt idx="444">
                  <c:v>-1.8270647817554945E-2</c:v>
                </c:pt>
                <c:pt idx="445">
                  <c:v>1.1582155731323712E-2</c:v>
                </c:pt>
                <c:pt idx="446">
                  <c:v>6.3929664692347126E-3</c:v>
                </c:pt>
                <c:pt idx="447">
                  <c:v>-2.4047570182312641E-3</c:v>
                </c:pt>
                <c:pt idx="448">
                  <c:v>-1.2988127482588875E-2</c:v>
                </c:pt>
                <c:pt idx="449">
                  <c:v>-2.5825279493656442E-2</c:v>
                </c:pt>
                <c:pt idx="450">
                  <c:v>-1.0828977765832507E-2</c:v>
                </c:pt>
                <c:pt idx="451">
                  <c:v>-0.3746708315801362</c:v>
                </c:pt>
                <c:pt idx="452">
                  <c:v>-6.8079843161374023E-3</c:v>
                </c:pt>
                <c:pt idx="453">
                  <c:v>-1.6859249801592032E-2</c:v>
                </c:pt>
                <c:pt idx="454">
                  <c:v>4.4887740525138928E-2</c:v>
                </c:pt>
                <c:pt idx="455">
                  <c:v>-1.9652134833633473E-2</c:v>
                </c:pt>
                <c:pt idx="456">
                  <c:v>-9.0495758392013514E-3</c:v>
                </c:pt>
                <c:pt idx="457">
                  <c:v>-3.8510173898965092E-2</c:v>
                </c:pt>
                <c:pt idx="458">
                  <c:v>2.3884593471417228E-4</c:v>
                </c:pt>
                <c:pt idx="459">
                  <c:v>-2.6323581938823549E-2</c:v>
                </c:pt>
                <c:pt idx="460">
                  <c:v>-9.223256241835006E-3</c:v>
                </c:pt>
                <c:pt idx="461">
                  <c:v>1.20182141809228E-2</c:v>
                </c:pt>
                <c:pt idx="462">
                  <c:v>-2.3448826358865214E-2</c:v>
                </c:pt>
                <c:pt idx="463">
                  <c:v>4.5885673175286258E-3</c:v>
                </c:pt>
                <c:pt idx="464">
                  <c:v>5.0225498935362071E-3</c:v>
                </c:pt>
                <c:pt idx="465">
                  <c:v>-2.7893748816554251E-2</c:v>
                </c:pt>
                <c:pt idx="466">
                  <c:v>-1.3160026696808747E-3</c:v>
                </c:pt>
                <c:pt idx="467">
                  <c:v>1.497398253579953E-2</c:v>
                </c:pt>
                <c:pt idx="468">
                  <c:v>2.3036110026897524E-2</c:v>
                </c:pt>
                <c:pt idx="469">
                  <c:v>3.3020177835639618E-2</c:v>
                </c:pt>
                <c:pt idx="470">
                  <c:v>-1.1502128588520375E-3</c:v>
                </c:pt>
                <c:pt idx="471">
                  <c:v>3.6376063142632684E-2</c:v>
                </c:pt>
                <c:pt idx="472">
                  <c:v>5.1330133789555782E-2</c:v>
                </c:pt>
                <c:pt idx="473">
                  <c:v>-1.3317201791203709E-2</c:v>
                </c:pt>
                <c:pt idx="474">
                  <c:v>-1.3495129141669046E-2</c:v>
                </c:pt>
                <c:pt idx="475">
                  <c:v>7.671155300964877E-3</c:v>
                </c:pt>
                <c:pt idx="476">
                  <c:v>1.5153235110645501E-2</c:v>
                </c:pt>
                <c:pt idx="477">
                  <c:v>-5.5441871683925066E-2</c:v>
                </c:pt>
                <c:pt idx="478">
                  <c:v>2.4036694938058559E-2</c:v>
                </c:pt>
                <c:pt idx="479">
                  <c:v>5.7613303219320129E-2</c:v>
                </c:pt>
                <c:pt idx="480">
                  <c:v>-0.14987411448793841</c:v>
                </c:pt>
                <c:pt idx="481">
                  <c:v>4.2558060179641505E-2</c:v>
                </c:pt>
                <c:pt idx="482">
                  <c:v>-1.7885697875003916E-2</c:v>
                </c:pt>
                <c:pt idx="483">
                  <c:v>1.3075029549849688E-3</c:v>
                </c:pt>
                <c:pt idx="484">
                  <c:v>7.2045807902508096E-3</c:v>
                </c:pt>
                <c:pt idx="485">
                  <c:v>2.9863486197990144E-3</c:v>
                </c:pt>
                <c:pt idx="486">
                  <c:v>-1.0268313162354912E-2</c:v>
                </c:pt>
                <c:pt idx="487">
                  <c:v>-9.5535577874952099E-4</c:v>
                </c:pt>
                <c:pt idx="488">
                  <c:v>-8.6447793925637905E-3</c:v>
                </c:pt>
                <c:pt idx="489">
                  <c:v>-2.5225004438225441E-2</c:v>
                </c:pt>
                <c:pt idx="490">
                  <c:v>-3.601542793752386E-2</c:v>
                </c:pt>
                <c:pt idx="491">
                  <c:v>-9.9035557465620115E-3</c:v>
                </c:pt>
                <c:pt idx="492">
                  <c:v>3.9221240136783339E-2</c:v>
                </c:pt>
                <c:pt idx="493">
                  <c:v>-3.1404696262616306E-2</c:v>
                </c:pt>
                <c:pt idx="494">
                  <c:v>-1.7495868674395797E-2</c:v>
                </c:pt>
                <c:pt idx="495">
                  <c:v>3.4303038371709609E-2</c:v>
                </c:pt>
                <c:pt idx="496">
                  <c:v>3.2164151756719269E-3</c:v>
                </c:pt>
                <c:pt idx="497">
                  <c:v>7.3002304415394383E-3</c:v>
                </c:pt>
                <c:pt idx="498">
                  <c:v>-2.915771386624565E-2</c:v>
                </c:pt>
                <c:pt idx="499">
                  <c:v>-2.333206731767928E-2</c:v>
                </c:pt>
                <c:pt idx="500">
                  <c:v>-3.4365247009896072E-2</c:v>
                </c:pt>
                <c:pt idx="501">
                  <c:v>8.7503600933630313E-2</c:v>
                </c:pt>
                <c:pt idx="502">
                  <c:v>3.3820161355046938E-2</c:v>
                </c:pt>
                <c:pt idx="503">
                  <c:v>1.5166412646074429E-3</c:v>
                </c:pt>
                <c:pt idx="504">
                  <c:v>1.8230804564523775E-2</c:v>
                </c:pt>
                <c:pt idx="505">
                  <c:v>-1.8098152125475197E-3</c:v>
                </c:pt>
                <c:pt idx="506">
                  <c:v>1.8078080097811379E-3</c:v>
                </c:pt>
                <c:pt idx="507">
                  <c:v>-1.359513002558008E-2</c:v>
                </c:pt>
                <c:pt idx="508">
                  <c:v>1.5555462362034825E-2</c:v>
                </c:pt>
                <c:pt idx="509">
                  <c:v>-4.3341143401481892E-3</c:v>
                </c:pt>
                <c:pt idx="510">
                  <c:v>1.2713818695658336E-3</c:v>
                </c:pt>
                <c:pt idx="511">
                  <c:v>1.4555852607902294E-3</c:v>
                </c:pt>
                <c:pt idx="512">
                  <c:v>-0.10000522844042832</c:v>
                </c:pt>
                <c:pt idx="513">
                  <c:v>2.4991545550212328E-2</c:v>
                </c:pt>
                <c:pt idx="514">
                  <c:v>-1.9467678294617708E-3</c:v>
                </c:pt>
                <c:pt idx="515">
                  <c:v>7.4797384290681956E-3</c:v>
                </c:pt>
                <c:pt idx="516">
                  <c:v>5.4322815384243925E-2</c:v>
                </c:pt>
                <c:pt idx="517">
                  <c:v>-1.7043694891919637E-2</c:v>
                </c:pt>
                <c:pt idx="518">
                  <c:v>5.6594763485966855E-3</c:v>
                </c:pt>
                <c:pt idx="519">
                  <c:v>5.6420549114091093E-3</c:v>
                </c:pt>
                <c:pt idx="520">
                  <c:v>6.9780724631456409E-3</c:v>
                </c:pt>
                <c:pt idx="521">
                  <c:v>-3.5801307966170828E-2</c:v>
                </c:pt>
                <c:pt idx="522">
                  <c:v>-8.4507254297698751E-3</c:v>
                </c:pt>
                <c:pt idx="523">
                  <c:v>-2.5859504791102064E-3</c:v>
                </c:pt>
                <c:pt idx="524">
                  <c:v>-3.1328365422280131E-2</c:v>
                </c:pt>
                <c:pt idx="525">
                  <c:v>4.5579946396775359E-2</c:v>
                </c:pt>
                <c:pt idx="526">
                  <c:v>3.8412523972929158E-2</c:v>
                </c:pt>
                <c:pt idx="527">
                  <c:v>-5.291620907861911E-2</c:v>
                </c:pt>
                <c:pt idx="528">
                  <c:v>8.6915888556346552E-3</c:v>
                </c:pt>
                <c:pt idx="529">
                  <c:v>3.0129908858167159E-2</c:v>
                </c:pt>
                <c:pt idx="530">
                  <c:v>-3.8376367406531267E-3</c:v>
                </c:pt>
                <c:pt idx="531">
                  <c:v>3.4605539382820982E-3</c:v>
                </c:pt>
                <c:pt idx="532">
                  <c:v>8.9067457933756401E-3</c:v>
                </c:pt>
                <c:pt idx="533">
                  <c:v>7.169715835442585E-3</c:v>
                </c:pt>
                <c:pt idx="534">
                  <c:v>8.8622070009268753E-3</c:v>
                </c:pt>
                <c:pt idx="535">
                  <c:v>-4.0452196011446201E-2</c:v>
                </c:pt>
                <c:pt idx="536">
                  <c:v>2.7184636191546745E-3</c:v>
                </c:pt>
                <c:pt idx="537">
                  <c:v>2.3258341002495258E-3</c:v>
                </c:pt>
                <c:pt idx="538">
                  <c:v>7.8333275622839704E-3</c:v>
                </c:pt>
                <c:pt idx="539">
                  <c:v>9.5629106859964758E-3</c:v>
                </c:pt>
                <c:pt idx="540">
                  <c:v>-1.3521181212911402E-2</c:v>
                </c:pt>
                <c:pt idx="541">
                  <c:v>-2.3284342937109879E-2</c:v>
                </c:pt>
                <c:pt idx="542">
                  <c:v>1.2819354551260355E-2</c:v>
                </c:pt>
                <c:pt idx="543">
                  <c:v>1.4724522366605533E-2</c:v>
                </c:pt>
                <c:pt idx="544">
                  <c:v>1.4667141591447219E-2</c:v>
                </c:pt>
                <c:pt idx="545">
                  <c:v>-2.7073315411726223E-2</c:v>
                </c:pt>
                <c:pt idx="546">
                  <c:v>8.3665421874028825E-3</c:v>
                </c:pt>
                <c:pt idx="547">
                  <c:v>4.3412757169217692E-2</c:v>
                </c:pt>
                <c:pt idx="548">
                  <c:v>-1.0091452689662848E-2</c:v>
                </c:pt>
                <c:pt idx="549">
                  <c:v>-1.6527532383856713E-3</c:v>
                </c:pt>
                <c:pt idx="550">
                  <c:v>-1.9815456792460082E-2</c:v>
                </c:pt>
                <c:pt idx="551">
                  <c:v>5.5283166425618528E-2</c:v>
                </c:pt>
                <c:pt idx="552">
                  <c:v>1.3506775170286511E-2</c:v>
                </c:pt>
                <c:pt idx="553">
                  <c:v>-2.5612820849142057E-3</c:v>
                </c:pt>
                <c:pt idx="554">
                  <c:v>-1.9919988904548814E-2</c:v>
                </c:pt>
                <c:pt idx="555">
                  <c:v>-1.6520142557639402E-3</c:v>
                </c:pt>
                <c:pt idx="556">
                  <c:v>-3.5028745617257419E-2</c:v>
                </c:pt>
                <c:pt idx="557">
                  <c:v>1.7080355471182848E-2</c:v>
                </c:pt>
                <c:pt idx="558">
                  <c:v>1.9360748304665776E-2</c:v>
                </c:pt>
                <c:pt idx="559">
                  <c:v>-4.783382682060403E-3</c:v>
                </c:pt>
                <c:pt idx="560">
                  <c:v>-2.0981583697934424E-2</c:v>
                </c:pt>
                <c:pt idx="561">
                  <c:v>3.9127519653050551E-2</c:v>
                </c:pt>
                <c:pt idx="562">
                  <c:v>-1.9842341262728706E-2</c:v>
                </c:pt>
                <c:pt idx="563">
                  <c:v>1.4793090780615676E-2</c:v>
                </c:pt>
                <c:pt idx="564">
                  <c:v>2.1022078049200702E-2</c:v>
                </c:pt>
                <c:pt idx="565">
                  <c:v>6.2931200528079559E-2</c:v>
                </c:pt>
                <c:pt idx="566">
                  <c:v>-1.6052696951913872E-2</c:v>
                </c:pt>
                <c:pt idx="567">
                  <c:v>-6.6425775806660883E-3</c:v>
                </c:pt>
                <c:pt idx="568">
                  <c:v>3.2178020357448114E-2</c:v>
                </c:pt>
                <c:pt idx="569">
                  <c:v>-5.841625166179993E-3</c:v>
                </c:pt>
                <c:pt idx="570">
                  <c:v>4.2627256060038775E-3</c:v>
                </c:pt>
                <c:pt idx="571">
                  <c:v>3.2758046678226925E-2</c:v>
                </c:pt>
                <c:pt idx="572">
                  <c:v>1.3148587041212498E-2</c:v>
                </c:pt>
                <c:pt idx="573">
                  <c:v>2.7659328161115597E-2</c:v>
                </c:pt>
                <c:pt idx="574">
                  <c:v>-2.3315186965757878E-3</c:v>
                </c:pt>
                <c:pt idx="575">
                  <c:v>9.8228347961644286E-3</c:v>
                </c:pt>
                <c:pt idx="576">
                  <c:v>-9.6068573958765623E-3</c:v>
                </c:pt>
                <c:pt idx="577">
                  <c:v>-1.2439128809679579E-2</c:v>
                </c:pt>
                <c:pt idx="578">
                  <c:v>2.7451138867823112E-3</c:v>
                </c:pt>
                <c:pt idx="579">
                  <c:v>7.0501070721977255E-2</c:v>
                </c:pt>
                <c:pt idx="580">
                  <c:v>3.1030198832305185E-3</c:v>
                </c:pt>
                <c:pt idx="581">
                  <c:v>-3.9622459275185217E-3</c:v>
                </c:pt>
                <c:pt idx="582">
                  <c:v>-3.1958416886764353E-2</c:v>
                </c:pt>
                <c:pt idx="583">
                  <c:v>-5.0834667874488449E-3</c:v>
                </c:pt>
                <c:pt idx="584">
                  <c:v>-2.9249128293951081E-2</c:v>
                </c:pt>
                <c:pt idx="585">
                  <c:v>2.9999588852962496E-2</c:v>
                </c:pt>
                <c:pt idx="586">
                  <c:v>5.4526765602149529E-2</c:v>
                </c:pt>
                <c:pt idx="587">
                  <c:v>6.8189542113245298E-4</c:v>
                </c:pt>
                <c:pt idx="588">
                  <c:v>2.330208279274483E-2</c:v>
                </c:pt>
                <c:pt idx="589">
                  <c:v>-5.8702768231127566E-3</c:v>
                </c:pt>
                <c:pt idx="590">
                  <c:v>-1.7280679543647145E-2</c:v>
                </c:pt>
                <c:pt idx="591">
                  <c:v>-6.7666097661198167E-3</c:v>
                </c:pt>
                <c:pt idx="592">
                  <c:v>9.6818462584439737E-3</c:v>
                </c:pt>
                <c:pt idx="593">
                  <c:v>9.0734601125634067E-3</c:v>
                </c:pt>
                <c:pt idx="594">
                  <c:v>-1.4304107009796526E-2</c:v>
                </c:pt>
                <c:pt idx="595">
                  <c:v>3.9974858592303569E-2</c:v>
                </c:pt>
                <c:pt idx="596">
                  <c:v>-2.5148791564603816E-4</c:v>
                </c:pt>
                <c:pt idx="597">
                  <c:v>-2.8864249701520154E-4</c:v>
                </c:pt>
                <c:pt idx="598">
                  <c:v>4.0347247019244456E-3</c:v>
                </c:pt>
                <c:pt idx="599">
                  <c:v>9.4203638290707825E-2</c:v>
                </c:pt>
                <c:pt idx="600">
                  <c:v>-3.0208464610414321E-2</c:v>
                </c:pt>
                <c:pt idx="601">
                  <c:v>3.1399363651949917E-2</c:v>
                </c:pt>
                <c:pt idx="602">
                  <c:v>5.213990060788759E-2</c:v>
                </c:pt>
                <c:pt idx="603">
                  <c:v>1.4385379803201082E-2</c:v>
                </c:pt>
                <c:pt idx="604">
                  <c:v>-1.3882000605640222E-2</c:v>
                </c:pt>
                <c:pt idx="605">
                  <c:v>1.4413195614185938E-2</c:v>
                </c:pt>
                <c:pt idx="606">
                  <c:v>-7.6935589788607872E-3</c:v>
                </c:pt>
                <c:pt idx="607">
                  <c:v>-5.1062345193245748E-2</c:v>
                </c:pt>
                <c:pt idx="608">
                  <c:v>-3.1839660506767539E-3</c:v>
                </c:pt>
                <c:pt idx="609">
                  <c:v>-9.9569656609958682E-4</c:v>
                </c:pt>
                <c:pt idx="610">
                  <c:v>4.0500132347823202E-3</c:v>
                </c:pt>
                <c:pt idx="611">
                  <c:v>2.6912380894323355E-2</c:v>
                </c:pt>
                <c:pt idx="612">
                  <c:v>5.5311514206806842E-2</c:v>
                </c:pt>
                <c:pt idx="613">
                  <c:v>9.1929778457929493E-3</c:v>
                </c:pt>
                <c:pt idx="614">
                  <c:v>2.6637418852709692E-3</c:v>
                </c:pt>
                <c:pt idx="615">
                  <c:v>-6.408108834903517E-3</c:v>
                </c:pt>
                <c:pt idx="616">
                  <c:v>-3.7514164395159671E-2</c:v>
                </c:pt>
                <c:pt idx="617">
                  <c:v>-1.9105898997590191E-2</c:v>
                </c:pt>
                <c:pt idx="618">
                  <c:v>-1.9173233092115126E-2</c:v>
                </c:pt>
                <c:pt idx="619">
                  <c:v>3.1413030703753321E-2</c:v>
                </c:pt>
                <c:pt idx="620">
                  <c:v>9.6420280971539415E-3</c:v>
                </c:pt>
                <c:pt idx="621">
                  <c:v>-1.6260034206531649E-2</c:v>
                </c:pt>
                <c:pt idx="622">
                  <c:v>-8.2520210581525774E-4</c:v>
                </c:pt>
                <c:pt idx="623">
                  <c:v>-4.9901104709802024E-2</c:v>
                </c:pt>
                <c:pt idx="624">
                  <c:v>-1.5760027500564074E-3</c:v>
                </c:pt>
                <c:pt idx="625">
                  <c:v>-4.1957766850956063E-2</c:v>
                </c:pt>
                <c:pt idx="626">
                  <c:v>-3.2299418452089598E-2</c:v>
                </c:pt>
                <c:pt idx="627">
                  <c:v>3.338238279563973E-2</c:v>
                </c:pt>
                <c:pt idx="628">
                  <c:v>7.3022521653374603E-3</c:v>
                </c:pt>
                <c:pt idx="629">
                  <c:v>-4.931113746225145E-3</c:v>
                </c:pt>
                <c:pt idx="630">
                  <c:v>2.4482751321800219E-2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61056"/>
        <c:axId val="218063232"/>
      </c:scatterChart>
      <c:valAx>
        <c:axId val="21806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18063232"/>
        <c:crosses val="autoZero"/>
        <c:crossBetween val="midCat"/>
      </c:valAx>
      <c:valAx>
        <c:axId val="218063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8061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476249</xdr:colOff>
      <xdr:row>5</xdr:row>
      <xdr:rowOff>122464</xdr:rowOff>
    </xdr:from>
    <xdr:to>
      <xdr:col>31</xdr:col>
      <xdr:colOff>680356</xdr:colOff>
      <xdr:row>20</xdr:row>
      <xdr:rowOff>13606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490258</xdr:colOff>
      <xdr:row>6</xdr:row>
      <xdr:rowOff>7282</xdr:rowOff>
    </xdr:from>
    <xdr:to>
      <xdr:col>34</xdr:col>
      <xdr:colOff>13447</xdr:colOff>
      <xdr:row>27</xdr:row>
      <xdr:rowOff>112058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9552e5069f7d409\Desktop\Fm%20Others\Rohan%20new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ISHAL.BO"/>
      <sheetName val="BETA"/>
      <sheetName val="WACC"/>
      <sheetName val="Sheet1"/>
      <sheetName val="Sheet2"/>
    </sheetNames>
    <sheetDataSet>
      <sheetData sheetId="0" refreshError="1"/>
      <sheetData sheetId="1" refreshError="1"/>
      <sheetData sheetId="2" refreshError="1">
        <row r="13">
          <cell r="F13">
            <v>0.17913669064748203</v>
          </cell>
        </row>
      </sheetData>
      <sheetData sheetId="3" refreshError="1">
        <row r="12">
          <cell r="K12">
            <v>197610003</v>
          </cell>
        </row>
        <row r="19">
          <cell r="L19">
            <v>0.25099639015835479</v>
          </cell>
        </row>
        <row r="20">
          <cell r="L20">
            <v>0.74900360984164527</v>
          </cell>
        </row>
        <row r="22">
          <cell r="D22">
            <v>0.12157564940035802</v>
          </cell>
        </row>
        <row r="33">
          <cell r="J33">
            <v>0.13602326296714232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topLeftCell="A3" workbookViewId="0">
      <selection activeCell="G3" sqref="G3"/>
    </sheetView>
  </sheetViews>
  <sheetFormatPr defaultColWidth="11.25" defaultRowHeight="15.7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766"/>
  <sheetViews>
    <sheetView showGridLines="0" topLeftCell="N1" zoomScale="70" zoomScaleNormal="70" workbookViewId="0">
      <selection activeCell="AF25" sqref="AF25"/>
    </sheetView>
  </sheetViews>
  <sheetFormatPr defaultColWidth="11.25" defaultRowHeight="15.75"/>
  <cols>
    <col min="1" max="1" width="2" customWidth="1"/>
    <col min="6" max="6" width="11.875" bestFit="1" customWidth="1"/>
    <col min="16" max="16" width="16.5" bestFit="1" customWidth="1"/>
    <col min="17" max="17" width="13.25" bestFit="1" customWidth="1"/>
    <col min="18" max="18" width="13.5" bestFit="1" customWidth="1"/>
    <col min="19" max="19" width="11.375" bestFit="1" customWidth="1"/>
    <col min="20" max="21" width="12.625" bestFit="1" customWidth="1"/>
    <col min="22" max="25" width="11.375" bestFit="1" customWidth="1"/>
    <col min="27" max="27" width="11.375" bestFit="1" customWidth="1"/>
  </cols>
  <sheetData>
    <row r="1" spans="1:28">
      <c r="A1" t="s">
        <v>0</v>
      </c>
      <c r="B1" s="106" t="s">
        <v>114</v>
      </c>
      <c r="C1" s="107"/>
      <c r="D1" s="108"/>
    </row>
    <row r="2" spans="1:28">
      <c r="B2" s="109" t="s">
        <v>7</v>
      </c>
      <c r="C2" s="109"/>
      <c r="D2" s="109"/>
    </row>
    <row r="4" spans="1:28">
      <c r="A4" t="s">
        <v>0</v>
      </c>
      <c r="B4" s="110" t="s">
        <v>6</v>
      </c>
      <c r="C4" s="110"/>
      <c r="D4" s="110"/>
      <c r="I4" s="110" t="s">
        <v>114</v>
      </c>
      <c r="J4" s="110"/>
      <c r="K4" s="110"/>
      <c r="P4" s="15"/>
      <c r="Q4" s="15"/>
      <c r="R4" s="111" t="str">
        <f>B1</f>
        <v>Havells</v>
      </c>
      <c r="S4" s="112"/>
      <c r="T4" s="15"/>
      <c r="U4" s="15"/>
    </row>
    <row r="5" spans="1:28">
      <c r="B5" s="135" t="s">
        <v>1</v>
      </c>
      <c r="C5" s="136" t="s">
        <v>3</v>
      </c>
      <c r="D5" s="137" t="s">
        <v>2</v>
      </c>
      <c r="I5" s="125" t="s">
        <v>1</v>
      </c>
      <c r="J5" s="126" t="s">
        <v>3</v>
      </c>
      <c r="K5" s="126" t="s">
        <v>70</v>
      </c>
      <c r="P5" s="1"/>
      <c r="Q5" s="1"/>
      <c r="R5" s="105" t="s">
        <v>8</v>
      </c>
      <c r="S5" s="105"/>
      <c r="T5" s="1"/>
      <c r="U5" s="1"/>
      <c r="V5" s="1"/>
      <c r="W5" s="1"/>
      <c r="X5" s="1"/>
      <c r="Y5" s="1"/>
      <c r="Z5" s="1"/>
      <c r="AA5" s="1"/>
      <c r="AB5" s="1"/>
    </row>
    <row r="6" spans="1:28">
      <c r="B6" s="138">
        <v>44564</v>
      </c>
      <c r="C6" s="139">
        <v>17625.699218999998</v>
      </c>
      <c r="D6" s="139"/>
      <c r="E6" s="50"/>
      <c r="I6" s="127">
        <v>44564</v>
      </c>
      <c r="J6" s="128">
        <v>1384.413452</v>
      </c>
      <c r="K6" s="128"/>
    </row>
    <row r="7" spans="1:28">
      <c r="B7" s="140">
        <v>44565</v>
      </c>
      <c r="C7" s="141">
        <v>17805.25</v>
      </c>
      <c r="D7" s="142">
        <f>(C7-C6)/C6</f>
        <v>1.0186874220935935E-2</v>
      </c>
      <c r="E7" s="50"/>
      <c r="F7" s="2" t="s">
        <v>4</v>
      </c>
      <c r="G7" s="14">
        <f>AVERAGE(D7:D637)</f>
        <v>5.8395061503815091E-4</v>
      </c>
      <c r="I7" s="129">
        <v>44565</v>
      </c>
      <c r="J7" s="130">
        <v>1379.6383060000001</v>
      </c>
      <c r="K7" s="131">
        <f>(J7-J6)/J6</f>
        <v>-3.4492195905070919E-3</v>
      </c>
      <c r="M7" s="2" t="s">
        <v>4</v>
      </c>
      <c r="N7" s="14">
        <f>AVERAGE(K7:K637)</f>
        <v>5.7613924668380363E-4</v>
      </c>
      <c r="P7" t="s">
        <v>9</v>
      </c>
    </row>
    <row r="8" spans="1:28" ht="16.5" thickBot="1">
      <c r="B8" s="140">
        <v>44566</v>
      </c>
      <c r="C8" s="141">
        <v>17925.25</v>
      </c>
      <c r="D8" s="142">
        <f t="shared" ref="D8:D71" si="0">(C8-C7)/C7</f>
        <v>6.7395852346920151E-3</v>
      </c>
      <c r="E8" s="50"/>
      <c r="F8" s="2"/>
      <c r="G8" s="13"/>
      <c r="I8" s="129">
        <v>44566</v>
      </c>
      <c r="J8" s="130">
        <v>1378.4567870000001</v>
      </c>
      <c r="K8" s="131">
        <f t="shared" ref="K8:K71" si="1">(J8-J7)/J7</f>
        <v>-8.5639764774694523E-4</v>
      </c>
      <c r="N8" s="13"/>
    </row>
    <row r="9" spans="1:28" ht="16.5" thickBot="1">
      <c r="B9" s="140">
        <v>44567</v>
      </c>
      <c r="C9" s="141">
        <v>17745.900390999999</v>
      </c>
      <c r="D9" s="142">
        <f t="shared" si="0"/>
        <v>-1.0005417441876725E-2</v>
      </c>
      <c r="E9" s="50"/>
      <c r="F9" s="2" t="s">
        <v>5</v>
      </c>
      <c r="G9" s="16">
        <f>_xlfn.STDEV.P(D7:D637)</f>
        <v>8.9722628621603465E-3</v>
      </c>
      <c r="I9" s="129">
        <v>44567</v>
      </c>
      <c r="J9" s="130">
        <v>1364.820923</v>
      </c>
      <c r="K9" s="131">
        <f t="shared" si="1"/>
        <v>-9.8921229367490374E-3</v>
      </c>
      <c r="M9" s="2" t="s">
        <v>5</v>
      </c>
      <c r="N9" s="16">
        <f>_xlfn.STDEV.P(K7:K637)</f>
        <v>1.5883332816906088E-2</v>
      </c>
      <c r="P9" s="89" t="s">
        <v>10</v>
      </c>
      <c r="Q9" s="89"/>
    </row>
    <row r="10" spans="1:28" ht="16.5" thickTop="1">
      <c r="B10" s="140">
        <v>44568</v>
      </c>
      <c r="C10" s="141">
        <v>17812.699218999998</v>
      </c>
      <c r="D10" s="142">
        <f t="shared" si="0"/>
        <v>3.7641836440080946E-3</v>
      </c>
      <c r="E10" s="50"/>
      <c r="F10" s="17"/>
      <c r="G10" s="17"/>
      <c r="I10" s="129">
        <v>44568</v>
      </c>
      <c r="J10" s="130">
        <v>1347.246948</v>
      </c>
      <c r="K10" s="131">
        <f t="shared" si="1"/>
        <v>-1.2876396239127716E-2</v>
      </c>
      <c r="M10" s="17"/>
      <c r="N10" s="17"/>
      <c r="P10" s="86" t="s">
        <v>11</v>
      </c>
      <c r="Q10" s="86">
        <v>0.4307770361671201</v>
      </c>
    </row>
    <row r="11" spans="1:28">
      <c r="B11" s="140">
        <v>44571</v>
      </c>
      <c r="C11" s="141">
        <v>18003.300781000002</v>
      </c>
      <c r="D11" s="142">
        <f t="shared" si="0"/>
        <v>1.0700318893651863E-2</v>
      </c>
      <c r="E11" s="50"/>
      <c r="I11" s="129">
        <v>44571</v>
      </c>
      <c r="J11" s="130">
        <v>1330.706543</v>
      </c>
      <c r="K11" s="131">
        <f t="shared" si="1"/>
        <v>-1.2277188695475868E-2</v>
      </c>
      <c r="P11" s="86" t="s">
        <v>12</v>
      </c>
      <c r="Q11" s="86">
        <v>0.1855688548889283</v>
      </c>
    </row>
    <row r="12" spans="1:28">
      <c r="B12" s="140">
        <v>44572</v>
      </c>
      <c r="C12" s="141">
        <v>18055.75</v>
      </c>
      <c r="D12" s="142">
        <f t="shared" si="0"/>
        <v>2.9133112665290341E-3</v>
      </c>
      <c r="E12" s="50"/>
      <c r="I12" s="129">
        <v>44572</v>
      </c>
      <c r="J12" s="130">
        <v>1336.8599850000001</v>
      </c>
      <c r="K12" s="131">
        <f t="shared" si="1"/>
        <v>4.6241915863188482E-3</v>
      </c>
      <c r="P12" s="86" t="s">
        <v>13</v>
      </c>
      <c r="Q12" s="86">
        <v>0.18427405179654185</v>
      </c>
    </row>
    <row r="13" spans="1:28">
      <c r="B13" s="140">
        <v>44573</v>
      </c>
      <c r="C13" s="141">
        <v>18212.349609000001</v>
      </c>
      <c r="D13" s="142">
        <f t="shared" si="0"/>
        <v>8.6731157110616162E-3</v>
      </c>
      <c r="E13" s="50"/>
      <c r="I13" s="129">
        <v>44573</v>
      </c>
      <c r="J13" s="130">
        <v>1334.8908690000001</v>
      </c>
      <c r="K13" s="131">
        <f t="shared" si="1"/>
        <v>-1.4729410873944181E-3</v>
      </c>
      <c r="P13" s="86" t="s">
        <v>14</v>
      </c>
      <c r="Q13" s="86">
        <v>1.4356817498448552E-2</v>
      </c>
    </row>
    <row r="14" spans="1:28" ht="16.5" thickBot="1">
      <c r="B14" s="140">
        <v>44574</v>
      </c>
      <c r="C14" s="141">
        <v>18257.800781000002</v>
      </c>
      <c r="D14" s="142">
        <f t="shared" si="0"/>
        <v>2.4956237375072317E-3</v>
      </c>
      <c r="E14" s="50"/>
      <c r="I14" s="129">
        <v>44574</v>
      </c>
      <c r="J14" s="130">
        <v>1306.3883060000001</v>
      </c>
      <c r="K14" s="131">
        <f t="shared" si="1"/>
        <v>-2.1351979897316992E-2</v>
      </c>
      <c r="P14" s="87" t="s">
        <v>15</v>
      </c>
      <c r="Q14" s="87">
        <v>631</v>
      </c>
    </row>
    <row r="15" spans="1:28">
      <c r="B15" s="140">
        <v>44575</v>
      </c>
      <c r="C15" s="141">
        <v>18255.75</v>
      </c>
      <c r="D15" s="142">
        <f t="shared" si="0"/>
        <v>-1.1232355005953847E-4</v>
      </c>
      <c r="E15" s="50"/>
      <c r="I15" s="129">
        <v>44575</v>
      </c>
      <c r="J15" s="130">
        <v>1324.0611570000001</v>
      </c>
      <c r="K15" s="131">
        <f>(J15-J14)/J14</f>
        <v>1.3528022961344571E-2</v>
      </c>
    </row>
    <row r="16" spans="1:28" ht="16.5" thickBot="1">
      <c r="B16" s="140">
        <v>44578</v>
      </c>
      <c r="C16" s="141">
        <v>18308.099609000001</v>
      </c>
      <c r="D16" s="142">
        <f t="shared" si="0"/>
        <v>2.8675682456212855E-3</v>
      </c>
      <c r="E16" s="50"/>
      <c r="I16" s="129">
        <v>44578</v>
      </c>
      <c r="J16" s="130">
        <v>1308.505249</v>
      </c>
      <c r="K16" s="131">
        <f t="shared" si="1"/>
        <v>-1.1748632544470937E-2</v>
      </c>
      <c r="P16" t="s">
        <v>16</v>
      </c>
    </row>
    <row r="17" spans="2:37">
      <c r="B17" s="140">
        <v>44579</v>
      </c>
      <c r="C17" s="141">
        <v>18113.050781000002</v>
      </c>
      <c r="D17" s="142">
        <f t="shared" si="0"/>
        <v>-1.0653690561313956E-2</v>
      </c>
      <c r="E17" s="50"/>
      <c r="I17" s="129">
        <v>44579</v>
      </c>
      <c r="J17" s="130">
        <v>1295.115356</v>
      </c>
      <c r="K17" s="131">
        <f t="shared" si="1"/>
        <v>-1.0232968503743486E-2</v>
      </c>
      <c r="P17" s="88"/>
      <c r="Q17" s="88" t="s">
        <v>21</v>
      </c>
      <c r="R17" s="88" t="s">
        <v>22</v>
      </c>
      <c r="S17" s="88" t="s">
        <v>23</v>
      </c>
      <c r="T17" s="88" t="s">
        <v>24</v>
      </c>
      <c r="U17" s="88" t="s">
        <v>25</v>
      </c>
    </row>
    <row r="18" spans="2:37">
      <c r="B18" s="140">
        <v>44580</v>
      </c>
      <c r="C18" s="141">
        <v>17938.400390999999</v>
      </c>
      <c r="D18" s="142">
        <f t="shared" si="0"/>
        <v>-9.6422403995689715E-3</v>
      </c>
      <c r="E18" s="50"/>
      <c r="I18" s="129">
        <v>44580</v>
      </c>
      <c r="J18" s="130">
        <v>1288.519043</v>
      </c>
      <c r="K18" s="131">
        <f t="shared" si="1"/>
        <v>-5.0932242980833049E-3</v>
      </c>
      <c r="P18" s="86" t="s">
        <v>17</v>
      </c>
      <c r="Q18" s="86">
        <v>1</v>
      </c>
      <c r="R18" s="86">
        <v>2.9540491664030222E-2</v>
      </c>
      <c r="S18" s="86">
        <v>2.9540491664030222E-2</v>
      </c>
      <c r="T18" s="86">
        <v>143.31820489160847</v>
      </c>
      <c r="U18" s="86">
        <v>6.7440373447026378E-30</v>
      </c>
    </row>
    <row r="19" spans="2:37">
      <c r="B19" s="140">
        <v>44581</v>
      </c>
      <c r="C19" s="141">
        <v>17757</v>
      </c>
      <c r="D19" s="142">
        <f t="shared" si="0"/>
        <v>-1.0112406181490457E-2</v>
      </c>
      <c r="E19" s="50"/>
      <c r="I19" s="129">
        <v>44581</v>
      </c>
      <c r="J19" s="130">
        <v>1290.045044</v>
      </c>
      <c r="K19" s="131">
        <f t="shared" si="1"/>
        <v>1.1843061290324687E-3</v>
      </c>
      <c r="P19" s="86" t="s">
        <v>18</v>
      </c>
      <c r="Q19" s="86">
        <v>629</v>
      </c>
      <c r="R19" s="86">
        <v>0.12964835326208413</v>
      </c>
      <c r="S19" s="86">
        <v>2.0611820868375854E-4</v>
      </c>
      <c r="T19" s="86"/>
      <c r="U19" s="86"/>
    </row>
    <row r="20" spans="2:37" ht="16.5" thickBot="1">
      <c r="B20" s="140">
        <v>44582</v>
      </c>
      <c r="C20" s="141">
        <v>17617.150390999999</v>
      </c>
      <c r="D20" s="142">
        <f t="shared" si="0"/>
        <v>-7.8757452835501937E-3</v>
      </c>
      <c r="E20" s="50"/>
      <c r="I20" s="129">
        <v>44582</v>
      </c>
      <c r="J20" s="130">
        <v>1222.357788</v>
      </c>
      <c r="K20" s="131">
        <f t="shared" si="1"/>
        <v>-5.2468908984855518E-2</v>
      </c>
      <c r="P20" s="87" t="s">
        <v>19</v>
      </c>
      <c r="Q20" s="87">
        <v>630</v>
      </c>
      <c r="R20" s="87">
        <v>0.15918884492611435</v>
      </c>
      <c r="S20" s="87"/>
      <c r="T20" s="87"/>
      <c r="U20" s="87"/>
    </row>
    <row r="21" spans="2:37" ht="16.5" thickBot="1">
      <c r="B21" s="140">
        <v>44585</v>
      </c>
      <c r="C21" s="141">
        <v>17149.099609000001</v>
      </c>
      <c r="D21" s="142">
        <f t="shared" si="0"/>
        <v>-2.6567905229389972E-2</v>
      </c>
      <c r="E21" s="50"/>
      <c r="I21" s="129">
        <v>44585</v>
      </c>
      <c r="J21" s="130">
        <v>1161.709961</v>
      </c>
      <c r="K21" s="131">
        <f t="shared" si="1"/>
        <v>-4.9615446144643867E-2</v>
      </c>
    </row>
    <row r="22" spans="2:37">
      <c r="B22" s="140">
        <v>44586</v>
      </c>
      <c r="C22" s="141">
        <v>17277.949218999998</v>
      </c>
      <c r="D22" s="142">
        <f t="shared" si="0"/>
        <v>7.5134912583035007E-3</v>
      </c>
      <c r="E22" s="50"/>
      <c r="I22" s="129">
        <v>44586</v>
      </c>
      <c r="J22" s="130">
        <v>1166.091187</v>
      </c>
      <c r="K22" s="131">
        <f t="shared" si="1"/>
        <v>3.7713595880925475E-3</v>
      </c>
      <c r="P22" s="88"/>
      <c r="Q22" s="88" t="s">
        <v>26</v>
      </c>
      <c r="R22" s="88" t="s">
        <v>14</v>
      </c>
      <c r="S22" s="88" t="s">
        <v>27</v>
      </c>
      <c r="T22" s="88" t="s">
        <v>28</v>
      </c>
      <c r="U22" s="88" t="s">
        <v>29</v>
      </c>
      <c r="V22" s="88" t="s">
        <v>30</v>
      </c>
      <c r="W22" s="88" t="s">
        <v>31</v>
      </c>
      <c r="X22" s="88" t="s">
        <v>32</v>
      </c>
    </row>
    <row r="23" spans="2:37">
      <c r="B23" s="140">
        <v>44588</v>
      </c>
      <c r="C23" s="141">
        <v>17110.150390999999</v>
      </c>
      <c r="D23" s="142">
        <f t="shared" si="0"/>
        <v>-9.7117329072524492E-3</v>
      </c>
      <c r="E23" s="50"/>
      <c r="I23" s="129">
        <v>44588</v>
      </c>
      <c r="J23" s="130">
        <v>1127.5463870000001</v>
      </c>
      <c r="K23" s="131">
        <f t="shared" si="1"/>
        <v>-3.3054704837589939E-2</v>
      </c>
      <c r="P23" s="86" t="s">
        <v>20</v>
      </c>
      <c r="Q23" s="86">
        <v>1.3082323427337681E-4</v>
      </c>
      <c r="R23" s="86">
        <v>5.7274509277477023E-4</v>
      </c>
      <c r="S23" s="86">
        <v>0.22841441318960815</v>
      </c>
      <c r="T23" s="86">
        <v>0.81939832259823819</v>
      </c>
      <c r="U23" s="86">
        <v>-9.9390071778329226E-4</v>
      </c>
      <c r="V23" s="86">
        <v>1.2555471863300457E-3</v>
      </c>
      <c r="W23" s="86">
        <v>-9.9390071778329226E-4</v>
      </c>
      <c r="X23" s="86">
        <v>1.2555471863300457E-3</v>
      </c>
    </row>
    <row r="24" spans="2:37" ht="16.5" thickBot="1">
      <c r="B24" s="140">
        <v>44589</v>
      </c>
      <c r="C24" s="141">
        <v>17101.949218999998</v>
      </c>
      <c r="D24" s="142">
        <f t="shared" si="0"/>
        <v>-4.7931618440448059E-4</v>
      </c>
      <c r="E24" s="50"/>
      <c r="I24" s="129">
        <v>44589</v>
      </c>
      <c r="J24" s="130">
        <v>1124.5927730000001</v>
      </c>
      <c r="K24" s="131">
        <f t="shared" si="1"/>
        <v>-2.6195055334783451E-3</v>
      </c>
      <c r="P24" s="87" t="s">
        <v>33</v>
      </c>
      <c r="Q24" s="87">
        <v>0.76259190579212466</v>
      </c>
      <c r="R24" s="87">
        <v>6.3700304947653538E-2</v>
      </c>
      <c r="S24" s="87">
        <v>11.971558164733958</v>
      </c>
      <c r="T24" s="87">
        <v>6.7440373447032193E-30</v>
      </c>
      <c r="U24" s="87">
        <v>0.63750090172809837</v>
      </c>
      <c r="V24" s="87">
        <v>0.88768290985615095</v>
      </c>
      <c r="W24" s="87">
        <v>0.63750090172809837</v>
      </c>
      <c r="X24" s="87">
        <v>0.88768290985615095</v>
      </c>
      <c r="AA24" s="18" t="s">
        <v>38</v>
      </c>
      <c r="AB24" s="101">
        <f>Q24</f>
        <v>0.76259190579212466</v>
      </c>
      <c r="AC24" s="102"/>
      <c r="AD24" s="102" t="s">
        <v>71</v>
      </c>
      <c r="AE24" s="102"/>
      <c r="AF24" s="102" t="s">
        <v>72</v>
      </c>
      <c r="AG24" s="102"/>
      <c r="AH24" s="102" t="s">
        <v>74</v>
      </c>
      <c r="AI24" s="102"/>
      <c r="AJ24" s="102" t="s">
        <v>73</v>
      </c>
      <c r="AK24" s="102"/>
    </row>
    <row r="25" spans="2:37" ht="19.5" thickBot="1">
      <c r="B25" s="140">
        <v>44592</v>
      </c>
      <c r="C25" s="141">
        <v>17339.849609000001</v>
      </c>
      <c r="D25" s="142">
        <f t="shared" si="0"/>
        <v>1.3910717834181083E-2</v>
      </c>
      <c r="E25" s="50"/>
      <c r="I25" s="129">
        <v>44592</v>
      </c>
      <c r="J25" s="130">
        <v>1166.091187</v>
      </c>
      <c r="K25" s="131">
        <f t="shared" si="1"/>
        <v>3.6900836459492263E-2</v>
      </c>
      <c r="AA25" s="19" t="s">
        <v>39</v>
      </c>
      <c r="AB25" s="103">
        <f>Q11</f>
        <v>0.1855688548889283</v>
      </c>
      <c r="AC25" s="104"/>
      <c r="AD25" s="104">
        <f>'WACC 1'!K19/'WACC 1'!K20</f>
        <v>2.6310244990052621E-3</v>
      </c>
      <c r="AE25" s="104"/>
      <c r="AF25" s="104">
        <f>(AB24)/(1+(1-0.3)*AD25)</f>
        <v>0.76119000909848933</v>
      </c>
      <c r="AG25" s="104"/>
      <c r="AH25" s="104">
        <f>AF25+(1+(1-0.3)*AJ25)</f>
        <v>3.1611900090984895</v>
      </c>
      <c r="AI25" s="104"/>
      <c r="AJ25" s="104">
        <f>2</f>
        <v>2</v>
      </c>
      <c r="AK25" s="104"/>
    </row>
    <row r="26" spans="2:37" ht="16.5" thickTop="1">
      <c r="B26" s="140">
        <v>44593</v>
      </c>
      <c r="C26" s="141">
        <v>17576.849609000001</v>
      </c>
      <c r="D26" s="142">
        <f t="shared" si="0"/>
        <v>1.3667938612165849E-2</v>
      </c>
      <c r="E26" s="50"/>
      <c r="I26" s="129">
        <v>44593</v>
      </c>
      <c r="J26" s="130">
        <v>1169.438721</v>
      </c>
      <c r="K26" s="131">
        <f t="shared" si="1"/>
        <v>2.8707308976514854E-3</v>
      </c>
    </row>
    <row r="27" spans="2:37">
      <c r="B27" s="140">
        <v>44594</v>
      </c>
      <c r="C27" s="141">
        <v>17780</v>
      </c>
      <c r="D27" s="142">
        <f t="shared" si="0"/>
        <v>1.1557838606981006E-2</v>
      </c>
      <c r="E27" s="50"/>
      <c r="I27" s="129">
        <v>44594</v>
      </c>
      <c r="J27" s="130">
        <v>1191.246216</v>
      </c>
      <c r="K27" s="131">
        <f t="shared" si="1"/>
        <v>1.8647830457804739E-2</v>
      </c>
    </row>
    <row r="28" spans="2:37">
      <c r="B28" s="140">
        <v>44595</v>
      </c>
      <c r="C28" s="141">
        <v>17560.199218999998</v>
      </c>
      <c r="D28" s="142">
        <f t="shared" si="0"/>
        <v>-1.2362248650168826E-2</v>
      </c>
      <c r="E28" s="50"/>
      <c r="I28" s="129">
        <v>44595</v>
      </c>
      <c r="J28" s="130">
        <v>1187.997437</v>
      </c>
      <c r="K28" s="131">
        <f t="shared" si="1"/>
        <v>-2.7272103418794938E-3</v>
      </c>
      <c r="P28" t="s">
        <v>34</v>
      </c>
    </row>
    <row r="29" spans="2:37" ht="16.5" thickBot="1">
      <c r="B29" s="140">
        <v>44596</v>
      </c>
      <c r="C29" s="141">
        <v>17516.300781000002</v>
      </c>
      <c r="D29" s="142">
        <f t="shared" si="0"/>
        <v>-2.4998826865528247E-3</v>
      </c>
      <c r="E29" s="50"/>
      <c r="I29" s="129">
        <v>44596</v>
      </c>
      <c r="J29" s="130">
        <v>1190.852539</v>
      </c>
      <c r="K29" s="131">
        <f t="shared" si="1"/>
        <v>2.4032896966594956E-3</v>
      </c>
    </row>
    <row r="30" spans="2:37">
      <c r="B30" s="140">
        <v>44599</v>
      </c>
      <c r="C30" s="141">
        <v>17213.599609000001</v>
      </c>
      <c r="D30" s="142">
        <f t="shared" si="0"/>
        <v>-1.7281112935006348E-2</v>
      </c>
      <c r="E30" s="50"/>
      <c r="I30" s="129">
        <v>44599</v>
      </c>
      <c r="J30" s="130">
        <v>1176.4780270000001</v>
      </c>
      <c r="K30" s="131">
        <f t="shared" si="1"/>
        <v>-1.2070774112864252E-2</v>
      </c>
      <c r="P30" s="88" t="s">
        <v>35</v>
      </c>
      <c r="Q30" s="88" t="s">
        <v>36</v>
      </c>
      <c r="R30" s="88" t="s">
        <v>37</v>
      </c>
    </row>
    <row r="31" spans="2:37">
      <c r="B31" s="140">
        <v>44600</v>
      </c>
      <c r="C31" s="141">
        <v>17266.75</v>
      </c>
      <c r="D31" s="142">
        <f t="shared" si="0"/>
        <v>3.0876976464707553E-3</v>
      </c>
      <c r="E31" s="50"/>
      <c r="I31" s="129">
        <v>44600</v>
      </c>
      <c r="J31" s="130">
        <v>1168.4541019999999</v>
      </c>
      <c r="K31" s="131">
        <f t="shared" si="1"/>
        <v>-6.8202931256277424E-3</v>
      </c>
      <c r="P31" s="86">
        <v>1</v>
      </c>
      <c r="Q31" s="86">
        <v>7.8992510604815758E-3</v>
      </c>
      <c r="R31" s="86">
        <v>-1.1348470650988669E-2</v>
      </c>
    </row>
    <row r="32" spans="2:37">
      <c r="B32" s="140">
        <v>44601</v>
      </c>
      <c r="C32" s="141">
        <v>17463.800781000002</v>
      </c>
      <c r="D32" s="142">
        <f t="shared" si="0"/>
        <v>1.1412152315867301E-2</v>
      </c>
      <c r="E32" s="50"/>
      <c r="I32" s="129">
        <v>44601</v>
      </c>
      <c r="J32" s="130">
        <v>1204.980591</v>
      </c>
      <c r="K32" s="131">
        <f t="shared" si="1"/>
        <v>3.126052528505744E-2</v>
      </c>
      <c r="P32" s="86">
        <v>2</v>
      </c>
      <c r="Q32" s="86">
        <v>5.2703763826456246E-3</v>
      </c>
      <c r="R32" s="86">
        <v>-6.1267740303925702E-3</v>
      </c>
    </row>
    <row r="33" spans="2:18">
      <c r="B33" s="140">
        <v>44602</v>
      </c>
      <c r="C33" s="141">
        <v>17605.849609000001</v>
      </c>
      <c r="D33" s="142">
        <f t="shared" si="0"/>
        <v>8.1339010780827944E-3</v>
      </c>
      <c r="E33" s="50"/>
      <c r="I33" s="129">
        <v>44602</v>
      </c>
      <c r="J33" s="130">
        <v>1200.4516599999999</v>
      </c>
      <c r="K33" s="131">
        <f t="shared" si="1"/>
        <v>-3.7585095011709252E-3</v>
      </c>
      <c r="P33" s="86">
        <v>3</v>
      </c>
      <c r="Q33" s="86">
        <v>-7.4992271209731592E-3</v>
      </c>
      <c r="R33" s="86">
        <v>-2.3928958157758782E-3</v>
      </c>
    </row>
    <row r="34" spans="2:18">
      <c r="B34" s="140">
        <v>44603</v>
      </c>
      <c r="C34" s="141">
        <v>17374.75</v>
      </c>
      <c r="D34" s="142">
        <f t="shared" si="0"/>
        <v>-1.3126296891793515E-2</v>
      </c>
      <c r="E34" s="50"/>
      <c r="I34" s="129">
        <v>44603</v>
      </c>
      <c r="J34" s="130">
        <v>1156.5904539999999</v>
      </c>
      <c r="K34" s="131">
        <f t="shared" si="1"/>
        <v>-3.6537252986929968E-2</v>
      </c>
      <c r="P34" s="86">
        <v>4</v>
      </c>
      <c r="Q34" s="86">
        <v>3.0013592131090542E-3</v>
      </c>
      <c r="R34" s="86">
        <v>-1.5877755452236769E-2</v>
      </c>
    </row>
    <row r="35" spans="2:18">
      <c r="B35" s="140">
        <v>44606</v>
      </c>
      <c r="C35" s="141">
        <v>16842.800781000002</v>
      </c>
      <c r="D35" s="142">
        <f t="shared" si="0"/>
        <v>-3.0616222909682054E-2</v>
      </c>
      <c r="E35" s="50"/>
      <c r="I35" s="129">
        <v>44606</v>
      </c>
      <c r="J35" s="130">
        <v>1138.179443</v>
      </c>
      <c r="K35" s="131">
        <f t="shared" si="1"/>
        <v>-1.5918349435036852E-2</v>
      </c>
      <c r="P35" s="86">
        <v>5</v>
      </c>
      <c r="Q35" s="86">
        <v>8.2907998119668303E-3</v>
      </c>
      <c r="R35" s="86">
        <v>-2.0567988507442698E-2</v>
      </c>
    </row>
    <row r="36" spans="2:18">
      <c r="B36" s="140">
        <v>44607</v>
      </c>
      <c r="C36" s="141">
        <v>17352.449218999998</v>
      </c>
      <c r="D36" s="142">
        <f t="shared" si="0"/>
        <v>3.025912641411278E-2</v>
      </c>
      <c r="E36" s="50"/>
      <c r="I36" s="129">
        <v>44607</v>
      </c>
      <c r="J36" s="130">
        <v>1171.4077150000001</v>
      </c>
      <c r="K36" s="131">
        <f t="shared" si="1"/>
        <v>2.9194229613229854E-2</v>
      </c>
      <c r="P36" s="86">
        <v>6</v>
      </c>
      <c r="Q36" s="86">
        <v>2.3524908251814211E-3</v>
      </c>
      <c r="R36" s="86">
        <v>2.2717007611374272E-3</v>
      </c>
    </row>
    <row r="37" spans="2:18">
      <c r="B37" s="140">
        <v>44608</v>
      </c>
      <c r="C37" s="141">
        <v>17322.199218999998</v>
      </c>
      <c r="D37" s="142">
        <f t="shared" si="0"/>
        <v>-1.7432697608403243E-3</v>
      </c>
      <c r="E37" s="50"/>
      <c r="I37" s="129">
        <v>44608</v>
      </c>
      <c r="J37" s="130">
        <v>1187.751221</v>
      </c>
      <c r="K37" s="131">
        <f t="shared" si="1"/>
        <v>1.3952021820173801E-2</v>
      </c>
      <c r="P37" s="86">
        <v>7</v>
      </c>
      <c r="Q37" s="86">
        <v>6.7448710735274735E-3</v>
      </c>
      <c r="R37" s="86">
        <v>-8.2178121609218918E-3</v>
      </c>
    </row>
    <row r="38" spans="2:18">
      <c r="B38" s="140">
        <v>44609</v>
      </c>
      <c r="C38" s="141">
        <v>17304.599609000001</v>
      </c>
      <c r="D38" s="142">
        <f t="shared" si="0"/>
        <v>-1.01601475525655E-3</v>
      </c>
      <c r="E38" s="50"/>
      <c r="I38" s="129">
        <v>44609</v>
      </c>
      <c r="J38" s="130">
        <v>1188.2926030000001</v>
      </c>
      <c r="K38" s="131">
        <f t="shared" si="1"/>
        <v>4.5580420413654315E-4</v>
      </c>
      <c r="P38" s="86">
        <v>8</v>
      </c>
      <c r="Q38" s="86">
        <v>2.0339656963990816E-3</v>
      </c>
      <c r="R38" s="86">
        <v>-2.3385945593716075E-2</v>
      </c>
    </row>
    <row r="39" spans="2:18">
      <c r="B39" s="140">
        <v>44610</v>
      </c>
      <c r="C39" s="141">
        <v>17276.300781000002</v>
      </c>
      <c r="D39" s="142">
        <f t="shared" si="0"/>
        <v>-1.6353356124623089E-3</v>
      </c>
      <c r="E39" s="50"/>
      <c r="I39" s="129">
        <v>44610</v>
      </c>
      <c r="J39" s="130">
        <v>1182.7299800000001</v>
      </c>
      <c r="K39" s="131">
        <f t="shared" si="1"/>
        <v>-4.6811896211054931E-3</v>
      </c>
      <c r="P39" s="86">
        <v>9</v>
      </c>
      <c r="Q39" s="86">
        <v>4.5166204168136249E-5</v>
      </c>
      <c r="R39" s="86">
        <v>1.3482856757176434E-2</v>
      </c>
    </row>
    <row r="40" spans="2:18">
      <c r="B40" s="140">
        <v>44613</v>
      </c>
      <c r="C40" s="141">
        <v>17206.650390999999</v>
      </c>
      <c r="D40" s="142">
        <f t="shared" si="0"/>
        <v>-4.0315569219888841E-3</v>
      </c>
      <c r="E40" s="50"/>
      <c r="I40" s="129">
        <v>44613</v>
      </c>
      <c r="J40" s="130">
        <v>1182.582275</v>
      </c>
      <c r="K40" s="131">
        <f t="shared" si="1"/>
        <v>-1.2488480253124829E-4</v>
      </c>
      <c r="P40" s="86">
        <v>10</v>
      </c>
      <c r="Q40" s="86">
        <v>2.3176075676906924E-3</v>
      </c>
      <c r="R40" s="86">
        <v>-1.406624011216163E-2</v>
      </c>
    </row>
    <row r="41" spans="2:18">
      <c r="B41" s="140">
        <v>44614</v>
      </c>
      <c r="C41" s="141">
        <v>17092.199218999998</v>
      </c>
      <c r="D41" s="142">
        <f t="shared" si="0"/>
        <v>-6.6515660747001083E-3</v>
      </c>
      <c r="E41" s="50"/>
      <c r="I41" s="129">
        <v>44614</v>
      </c>
      <c r="J41" s="130">
        <v>1184.8466800000001</v>
      </c>
      <c r="K41" s="131">
        <f t="shared" si="1"/>
        <v>1.9147970064071224E-3</v>
      </c>
      <c r="P41" s="86">
        <v>11</v>
      </c>
      <c r="Q41" s="86">
        <v>-7.993594954598603E-3</v>
      </c>
      <c r="R41" s="86">
        <v>-2.2393735491448834E-3</v>
      </c>
    </row>
    <row r="42" spans="2:18">
      <c r="B42" s="140">
        <v>44615</v>
      </c>
      <c r="C42" s="141">
        <v>17063.25</v>
      </c>
      <c r="D42" s="142">
        <f t="shared" si="0"/>
        <v>-1.6937094301953718E-3</v>
      </c>
      <c r="E42" s="50"/>
      <c r="I42" s="129">
        <v>44615</v>
      </c>
      <c r="J42" s="130">
        <v>1182.6807859999999</v>
      </c>
      <c r="K42" s="131">
        <f t="shared" si="1"/>
        <v>-1.8279951630536767E-3</v>
      </c>
      <c r="P42" s="86">
        <v>12</v>
      </c>
      <c r="Q42" s="86">
        <v>-7.222271248139742E-3</v>
      </c>
      <c r="R42" s="86">
        <v>2.1290469500564371E-3</v>
      </c>
    </row>
    <row r="43" spans="2:18">
      <c r="B43" s="140">
        <v>44616</v>
      </c>
      <c r="C43" s="141">
        <v>16247.950194999999</v>
      </c>
      <c r="D43" s="142">
        <f t="shared" si="0"/>
        <v>-4.778103848915069E-2</v>
      </c>
      <c r="E43" s="50"/>
      <c r="I43" s="129">
        <v>44616</v>
      </c>
      <c r="J43" s="130">
        <v>1129.6633300000001</v>
      </c>
      <c r="K43" s="131">
        <f t="shared" si="1"/>
        <v>-4.4828204387519166E-2</v>
      </c>
      <c r="P43" s="86">
        <v>13</v>
      </c>
      <c r="Q43" s="86">
        <v>-7.5808158678134924E-3</v>
      </c>
      <c r="R43" s="86">
        <v>8.7651219968459607E-3</v>
      </c>
    </row>
    <row r="44" spans="2:18">
      <c r="B44" s="140">
        <v>44617</v>
      </c>
      <c r="C44" s="141">
        <v>16658.400390999999</v>
      </c>
      <c r="D44" s="142">
        <f t="shared" si="0"/>
        <v>2.5261660152448528E-2</v>
      </c>
      <c r="E44" s="50"/>
      <c r="I44" s="129">
        <v>44617</v>
      </c>
      <c r="J44" s="130">
        <v>1150.338379</v>
      </c>
      <c r="K44" s="131">
        <f t="shared" si="1"/>
        <v>1.8301956389077393E-2</v>
      </c>
      <c r="P44" s="86">
        <v>14</v>
      </c>
      <c r="Q44" s="86">
        <v>-5.8751563710425026E-3</v>
      </c>
      <c r="R44" s="86">
        <v>-4.6593752613813016E-2</v>
      </c>
    </row>
    <row r="45" spans="2:18">
      <c r="B45" s="140">
        <v>44620</v>
      </c>
      <c r="C45" s="141">
        <v>16793.900390999999</v>
      </c>
      <c r="D45" s="142">
        <f t="shared" si="0"/>
        <v>8.1340342901834867E-3</v>
      </c>
      <c r="E45" s="50"/>
      <c r="I45" s="129">
        <v>44620</v>
      </c>
      <c r="J45" s="130">
        <v>1167.3710940000001</v>
      </c>
      <c r="K45" s="131">
        <f t="shared" si="1"/>
        <v>1.4806699759775686E-2</v>
      </c>
      <c r="P45" s="86">
        <v>15</v>
      </c>
      <c r="Q45" s="86">
        <v>-2.0129646247511675E-2</v>
      </c>
      <c r="R45" s="86">
        <v>-2.9485799897132191E-2</v>
      </c>
    </row>
    <row r="46" spans="2:18">
      <c r="B46" s="140">
        <v>44622</v>
      </c>
      <c r="C46" s="141">
        <v>16605.949218999998</v>
      </c>
      <c r="D46" s="142">
        <f t="shared" si="0"/>
        <v>-1.119163313012894E-2</v>
      </c>
      <c r="E46" s="50"/>
      <c r="I46" s="129">
        <v>44622</v>
      </c>
      <c r="J46" s="130">
        <v>1131.0905760000001</v>
      </c>
      <c r="K46" s="131">
        <f t="shared" si="1"/>
        <v>-3.107882162447996E-2</v>
      </c>
      <c r="P46" s="86">
        <v>16</v>
      </c>
      <c r="Q46" s="86">
        <v>5.8605508520955122E-3</v>
      </c>
      <c r="R46" s="86">
        <v>-2.0891912640029647E-3</v>
      </c>
    </row>
    <row r="47" spans="2:18">
      <c r="B47" s="140">
        <v>44623</v>
      </c>
      <c r="C47" s="141">
        <v>16498.050781000002</v>
      </c>
      <c r="D47" s="142">
        <f t="shared" si="0"/>
        <v>-6.4975772584287186E-3</v>
      </c>
      <c r="E47" s="50"/>
      <c r="I47" s="129">
        <v>44623</v>
      </c>
      <c r="J47" s="130">
        <v>1087.278564</v>
      </c>
      <c r="K47" s="131">
        <f t="shared" si="1"/>
        <v>-3.8734309108062179E-2</v>
      </c>
      <c r="P47" s="86">
        <v>17</v>
      </c>
      <c r="Q47" s="86">
        <v>-7.2752656720123593E-3</v>
      </c>
      <c r="R47" s="86">
        <v>-2.5779439165577581E-2</v>
      </c>
    </row>
    <row r="48" spans="2:18">
      <c r="B48" s="140">
        <v>44624</v>
      </c>
      <c r="C48" s="141">
        <v>16245.349609000001</v>
      </c>
      <c r="D48" s="142">
        <f t="shared" si="0"/>
        <v>-1.5317032015141119E-2</v>
      </c>
      <c r="E48" s="50"/>
      <c r="I48" s="129">
        <v>44624</v>
      </c>
      <c r="J48" s="130">
        <v>1067.243164</v>
      </c>
      <c r="K48" s="131">
        <f t="shared" si="1"/>
        <v>-1.8427108436950647E-2</v>
      </c>
      <c r="P48" s="86">
        <v>18</v>
      </c>
      <c r="Q48" s="86">
        <v>-2.346994082686455E-4</v>
      </c>
      <c r="R48" s="86">
        <v>-2.3848061252096995E-3</v>
      </c>
    </row>
    <row r="49" spans="2:18">
      <c r="B49" s="140">
        <v>44627</v>
      </c>
      <c r="C49" s="141">
        <v>15863.150390999999</v>
      </c>
      <c r="D49" s="142">
        <f t="shared" si="0"/>
        <v>-2.3526684694323931E-2</v>
      </c>
      <c r="E49" s="50"/>
      <c r="I49" s="129">
        <v>44627</v>
      </c>
      <c r="J49" s="130">
        <v>1055.477783</v>
      </c>
      <c r="K49" s="131">
        <f t="shared" si="1"/>
        <v>-1.1024086540787563E-2</v>
      </c>
      <c r="P49" s="86">
        <v>19</v>
      </c>
      <c r="Q49" s="86">
        <v>1.0739024058378026E-2</v>
      </c>
      <c r="R49" s="86">
        <v>2.6161812401114239E-2</v>
      </c>
    </row>
    <row r="50" spans="2:18">
      <c r="B50" s="140">
        <v>44628</v>
      </c>
      <c r="C50" s="141">
        <v>16013.450194999999</v>
      </c>
      <c r="D50" s="142">
        <f t="shared" si="0"/>
        <v>9.4747764659202389E-3</v>
      </c>
      <c r="E50" s="50"/>
      <c r="I50" s="129">
        <v>44628</v>
      </c>
      <c r="J50" s="130">
        <v>1058.7269289999999</v>
      </c>
      <c r="K50" s="131">
        <f t="shared" si="1"/>
        <v>3.0783651274636846E-3</v>
      </c>
      <c r="P50" s="86">
        <v>20</v>
      </c>
      <c r="Q50" s="86">
        <v>1.05538825887747E-2</v>
      </c>
      <c r="R50" s="86">
        <v>-7.6831516911232143E-3</v>
      </c>
    </row>
    <row r="51" spans="2:18">
      <c r="B51" s="140">
        <v>44629</v>
      </c>
      <c r="C51" s="141">
        <v>16345.349609000001</v>
      </c>
      <c r="D51" s="142">
        <f t="shared" si="0"/>
        <v>2.0726290084795894E-2</v>
      </c>
      <c r="E51" s="50"/>
      <c r="I51" s="129">
        <v>44629</v>
      </c>
      <c r="J51" s="130">
        <v>1075.759644</v>
      </c>
      <c r="K51" s="131">
        <f t="shared" si="1"/>
        <v>1.6087920816454507E-2</v>
      </c>
      <c r="P51" s="86">
        <v>21</v>
      </c>
      <c r="Q51" s="86">
        <v>8.9447374044088184E-3</v>
      </c>
      <c r="R51" s="86">
        <v>9.7030930533959208E-3</v>
      </c>
    </row>
    <row r="52" spans="2:18">
      <c r="B52" s="140">
        <v>44630</v>
      </c>
      <c r="C52" s="141">
        <v>16594.900390999999</v>
      </c>
      <c r="D52" s="142">
        <f t="shared" si="0"/>
        <v>1.526738723670933E-2</v>
      </c>
      <c r="E52" s="50"/>
      <c r="I52" s="129">
        <v>44630</v>
      </c>
      <c r="J52" s="130">
        <v>1110.267456</v>
      </c>
      <c r="K52" s="131">
        <f t="shared" si="1"/>
        <v>3.2077622722199883E-2</v>
      </c>
      <c r="P52" s="86">
        <v>22</v>
      </c>
      <c r="Q52" s="86">
        <v>-9.2965275237349883E-3</v>
      </c>
      <c r="R52" s="86">
        <v>6.5693171818554941E-3</v>
      </c>
    </row>
    <row r="53" spans="2:18">
      <c r="B53" s="140">
        <v>44631</v>
      </c>
      <c r="C53" s="141">
        <v>16630.449218999998</v>
      </c>
      <c r="D53" s="142">
        <f t="shared" si="0"/>
        <v>2.142153743765671E-3</v>
      </c>
      <c r="E53" s="50"/>
      <c r="I53" s="129">
        <v>44631</v>
      </c>
      <c r="J53" s="130">
        <v>1075.7102050000001</v>
      </c>
      <c r="K53" s="131">
        <f t="shared" si="1"/>
        <v>-3.1125158909458255E-2</v>
      </c>
      <c r="P53" s="86">
        <v>23</v>
      </c>
      <c r="Q53" s="86">
        <v>-1.7755670679216783E-3</v>
      </c>
      <c r="R53" s="86">
        <v>4.1788567645811743E-3</v>
      </c>
    </row>
    <row r="54" spans="2:18">
      <c r="B54" s="140">
        <v>44634</v>
      </c>
      <c r="C54" s="141">
        <v>16871.300781000002</v>
      </c>
      <c r="D54" s="142">
        <f t="shared" si="0"/>
        <v>1.4482565012425206E-2</v>
      </c>
      <c r="E54" s="50"/>
      <c r="I54" s="129">
        <v>44634</v>
      </c>
      <c r="J54" s="130">
        <v>1078.7624510000001</v>
      </c>
      <c r="K54" s="131">
        <f t="shared" si="1"/>
        <v>2.8374240439598395E-3</v>
      </c>
      <c r="P54" s="86">
        <v>24</v>
      </c>
      <c r="Q54" s="86">
        <v>-1.3047613613042051E-2</v>
      </c>
      <c r="R54" s="86">
        <v>9.7683950017779866E-4</v>
      </c>
    </row>
    <row r="55" spans="2:18">
      <c r="B55" s="140">
        <v>44635</v>
      </c>
      <c r="C55" s="141">
        <v>16663</v>
      </c>
      <c r="D55" s="142">
        <f t="shared" si="0"/>
        <v>-1.2346456488677174E-2</v>
      </c>
      <c r="E55" s="50"/>
      <c r="I55" s="129">
        <v>44635</v>
      </c>
      <c r="J55" s="130">
        <v>1065.3233640000001</v>
      </c>
      <c r="K55" s="131">
        <f t="shared" si="1"/>
        <v>-1.245787428691284E-2</v>
      </c>
      <c r="P55" s="86">
        <v>25</v>
      </c>
      <c r="Q55" s="86">
        <v>2.4854764670053679E-3</v>
      </c>
      <c r="R55" s="86">
        <v>-9.3057695926331112E-3</v>
      </c>
    </row>
    <row r="56" spans="2:18">
      <c r="B56" s="140">
        <v>44636</v>
      </c>
      <c r="C56" s="141">
        <v>16975.349609000001</v>
      </c>
      <c r="D56" s="142">
        <f t="shared" si="0"/>
        <v>1.8745100462101708E-2</v>
      </c>
      <c r="E56" s="50"/>
      <c r="I56" s="129">
        <v>44636</v>
      </c>
      <c r="J56" s="130">
        <v>1118.783936</v>
      </c>
      <c r="K56" s="131">
        <f t="shared" si="1"/>
        <v>5.0182483372250487E-2</v>
      </c>
      <c r="P56" s="86">
        <v>26</v>
      </c>
      <c r="Q56" s="86">
        <v>8.8336382180206306E-3</v>
      </c>
      <c r="R56" s="86">
        <v>2.242688706703681E-2</v>
      </c>
    </row>
    <row r="57" spans="2:18">
      <c r="B57" s="140">
        <v>44637</v>
      </c>
      <c r="C57" s="141">
        <v>17287.050781000002</v>
      </c>
      <c r="D57" s="142">
        <f t="shared" si="0"/>
        <v>1.8361988364277521E-2</v>
      </c>
      <c r="E57" s="50"/>
      <c r="I57" s="129">
        <v>44637</v>
      </c>
      <c r="J57" s="130">
        <v>1129.367798</v>
      </c>
      <c r="K57" s="131">
        <f t="shared" si="1"/>
        <v>9.4601483444967452E-3</v>
      </c>
      <c r="P57" s="86">
        <v>27</v>
      </c>
      <c r="Q57" s="86">
        <v>6.3336703589331527E-3</v>
      </c>
      <c r="R57" s="86">
        <v>-1.0092179860104078E-2</v>
      </c>
    </row>
    <row r="58" spans="2:18">
      <c r="B58" s="140">
        <v>44641</v>
      </c>
      <c r="C58" s="141">
        <v>17117.599609000001</v>
      </c>
      <c r="D58" s="142">
        <f t="shared" si="0"/>
        <v>-9.8022024778363463E-3</v>
      </c>
      <c r="E58" s="50"/>
      <c r="I58" s="129">
        <v>44641</v>
      </c>
      <c r="J58" s="130">
        <v>1119.571533</v>
      </c>
      <c r="K58" s="131">
        <f t="shared" si="1"/>
        <v>-8.6741139754012604E-3</v>
      </c>
      <c r="P58" s="86">
        <v>28</v>
      </c>
      <c r="Q58" s="86">
        <v>-9.8791845284326822E-3</v>
      </c>
      <c r="R58" s="86">
        <v>-2.6658068458497285E-2</v>
      </c>
    </row>
    <row r="59" spans="2:18">
      <c r="B59" s="140">
        <v>44642</v>
      </c>
      <c r="C59" s="141">
        <v>17315.5</v>
      </c>
      <c r="D59" s="142">
        <f t="shared" si="0"/>
        <v>1.1561223274316348E-2</v>
      </c>
      <c r="E59" s="50"/>
      <c r="I59" s="129">
        <v>44642</v>
      </c>
      <c r="J59" s="130">
        <v>1107.5600589999999</v>
      </c>
      <c r="K59" s="131">
        <f t="shared" si="1"/>
        <v>-1.0728634701718639E-2</v>
      </c>
      <c r="P59" s="86">
        <v>29</v>
      </c>
      <c r="Q59" s="86">
        <v>-2.3216860542577569E-2</v>
      </c>
      <c r="R59" s="86">
        <v>7.2985111075407165E-3</v>
      </c>
    </row>
    <row r="60" spans="2:18">
      <c r="B60" s="140">
        <v>44643</v>
      </c>
      <c r="C60" s="141">
        <v>17245.650390999999</v>
      </c>
      <c r="D60" s="142">
        <f t="shared" si="0"/>
        <v>-4.0339354335711232E-3</v>
      </c>
      <c r="E60" s="50"/>
      <c r="I60" s="129">
        <v>44643</v>
      </c>
      <c r="J60" s="130">
        <v>1123.7066649999999</v>
      </c>
      <c r="K60" s="131">
        <f t="shared" si="1"/>
        <v>1.4578537632152029E-2</v>
      </c>
      <c r="P60" s="86">
        <v>30</v>
      </c>
      <c r="Q60" s="86">
        <v>2.3206188114016462E-2</v>
      </c>
      <c r="R60" s="86">
        <v>5.9880414992133923E-3</v>
      </c>
    </row>
    <row r="61" spans="2:18">
      <c r="B61" s="140">
        <v>44644</v>
      </c>
      <c r="C61" s="141">
        <v>17222.75</v>
      </c>
      <c r="D61" s="142">
        <f t="shared" si="0"/>
        <v>-1.3278937286094041E-3</v>
      </c>
      <c r="E61" s="50"/>
      <c r="I61" s="129">
        <v>44644</v>
      </c>
      <c r="J61" s="130">
        <v>1128.432495</v>
      </c>
      <c r="K61" s="131">
        <f t="shared" si="1"/>
        <v>4.2055726349189962E-3</v>
      </c>
      <c r="P61" s="86">
        <v>31</v>
      </c>
      <c r="Q61" s="86">
        <v>-1.1985801749556275E-3</v>
      </c>
      <c r="R61" s="86">
        <v>1.5150601995129428E-2</v>
      </c>
    </row>
    <row r="62" spans="2:18">
      <c r="B62" s="140">
        <v>44645</v>
      </c>
      <c r="C62" s="141">
        <v>17153</v>
      </c>
      <c r="D62" s="142">
        <f t="shared" si="0"/>
        <v>-4.0498758909001172E-3</v>
      </c>
      <c r="E62" s="50"/>
      <c r="I62" s="129">
        <v>44645</v>
      </c>
      <c r="J62" s="130">
        <v>1130.7955320000001</v>
      </c>
      <c r="K62" s="131">
        <f t="shared" si="1"/>
        <v>2.0940880473316009E-3</v>
      </c>
      <c r="P62" s="86">
        <v>32</v>
      </c>
      <c r="Q62" s="86">
        <v>-6.439813942506347E-4</v>
      </c>
      <c r="R62" s="86">
        <v>1.0997855983871777E-3</v>
      </c>
    </row>
    <row r="63" spans="2:18">
      <c r="B63" s="140">
        <v>44648</v>
      </c>
      <c r="C63" s="141">
        <v>17222</v>
      </c>
      <c r="D63" s="142">
        <f t="shared" si="0"/>
        <v>4.022619949862998E-3</v>
      </c>
      <c r="E63" s="50"/>
      <c r="I63" s="129">
        <v>44648</v>
      </c>
      <c r="J63" s="130">
        <v>1112.581543</v>
      </c>
      <c r="K63" s="131">
        <f t="shared" si="1"/>
        <v>-1.6107234672023872E-2</v>
      </c>
      <c r="P63" s="86">
        <v>33</v>
      </c>
      <c r="Q63" s="86">
        <v>-1.1162704670439868E-3</v>
      </c>
      <c r="R63" s="86">
        <v>-3.5649191540615063E-3</v>
      </c>
    </row>
    <row r="64" spans="2:18">
      <c r="B64" s="140">
        <v>44649</v>
      </c>
      <c r="C64" s="141">
        <v>17325.300781000002</v>
      </c>
      <c r="D64" s="142">
        <f t="shared" si="0"/>
        <v>5.9981872604808811E-3</v>
      </c>
      <c r="E64" s="50"/>
      <c r="I64" s="129">
        <v>44649</v>
      </c>
      <c r="J64" s="130">
        <v>1135.767212</v>
      </c>
      <c r="K64" s="131">
        <f t="shared" si="1"/>
        <v>2.0839523310337678E-2</v>
      </c>
      <c r="P64" s="86">
        <v>34</v>
      </c>
      <c r="Q64" s="86">
        <v>-2.9436094421755586E-3</v>
      </c>
      <c r="R64" s="86">
        <v>2.8187246396443105E-3</v>
      </c>
    </row>
    <row r="65" spans="2:18">
      <c r="B65" s="140">
        <v>44650</v>
      </c>
      <c r="C65" s="141">
        <v>17498.25</v>
      </c>
      <c r="D65" s="142">
        <f t="shared" si="0"/>
        <v>9.9824655967684604E-3</v>
      </c>
      <c r="E65" s="50"/>
      <c r="I65" s="129">
        <v>44650</v>
      </c>
      <c r="J65" s="130">
        <v>1133.1091309999999</v>
      </c>
      <c r="K65" s="131">
        <f t="shared" si="1"/>
        <v>-2.3403396152978911E-3</v>
      </c>
      <c r="P65" s="86">
        <v>35</v>
      </c>
      <c r="Q65" s="86">
        <v>-4.9416072151344205E-3</v>
      </c>
      <c r="R65" s="86">
        <v>6.8564042215415429E-3</v>
      </c>
    </row>
    <row r="66" spans="2:18">
      <c r="B66" s="140">
        <v>44651</v>
      </c>
      <c r="C66" s="141">
        <v>17464.75</v>
      </c>
      <c r="D66" s="142">
        <f t="shared" si="0"/>
        <v>-1.9144771620019144E-3</v>
      </c>
      <c r="E66" s="50"/>
      <c r="I66" s="129">
        <v>44651</v>
      </c>
      <c r="J66" s="130">
        <v>1134.7335210000001</v>
      </c>
      <c r="K66" s="131">
        <f t="shared" si="1"/>
        <v>1.4335688907268862E-3</v>
      </c>
      <c r="P66" s="86">
        <v>36</v>
      </c>
      <c r="Q66" s="86">
        <v>-1.1607858679574053E-3</v>
      </c>
      <c r="R66" s="86">
        <v>-6.6720929509627141E-4</v>
      </c>
    </row>
    <row r="67" spans="2:18">
      <c r="B67" s="140">
        <v>44652</v>
      </c>
      <c r="C67" s="141">
        <v>17670.449218999998</v>
      </c>
      <c r="D67" s="142">
        <f t="shared" si="0"/>
        <v>1.1777965272906756E-2</v>
      </c>
      <c r="E67" s="50"/>
      <c r="I67" s="129">
        <v>44652</v>
      </c>
      <c r="J67" s="130">
        <v>1154.9658199999999</v>
      </c>
      <c r="K67" s="131">
        <f t="shared" si="1"/>
        <v>1.7830000282506666E-2</v>
      </c>
      <c r="P67" s="86">
        <v>37</v>
      </c>
      <c r="Q67" s="86">
        <v>-3.6306609967894914E-2</v>
      </c>
      <c r="R67" s="86">
        <v>-8.5215944196242524E-3</v>
      </c>
    </row>
    <row r="68" spans="2:18">
      <c r="B68" s="140">
        <v>44655</v>
      </c>
      <c r="C68" s="141">
        <v>18053.400390999999</v>
      </c>
      <c r="D68" s="142">
        <f t="shared" si="0"/>
        <v>2.1671841346751729E-2</v>
      </c>
      <c r="E68" s="50"/>
      <c r="I68" s="129">
        <v>44655</v>
      </c>
      <c r="J68" s="130">
        <v>1162.0545649999999</v>
      </c>
      <c r="K68" s="131">
        <f t="shared" si="1"/>
        <v>6.1376231895763095E-3</v>
      </c>
      <c r="P68" s="86">
        <v>38</v>
      </c>
      <c r="Q68" s="86">
        <v>1.9395160793402075E-2</v>
      </c>
      <c r="R68" s="86">
        <v>-1.0932044043246818E-3</v>
      </c>
    </row>
    <row r="69" spans="2:18">
      <c r="B69" s="140">
        <v>44656</v>
      </c>
      <c r="C69" s="141">
        <v>17957.400390999999</v>
      </c>
      <c r="D69" s="142">
        <f t="shared" si="0"/>
        <v>-5.3175577963616221E-3</v>
      </c>
      <c r="E69" s="50"/>
      <c r="I69" s="129">
        <v>44656</v>
      </c>
      <c r="J69" s="130">
        <v>1239.193481</v>
      </c>
      <c r="K69" s="131">
        <f t="shared" si="1"/>
        <v>6.6381492163408107E-2</v>
      </c>
      <c r="P69" s="86">
        <v>39</v>
      </c>
      <c r="Q69" s="86">
        <v>6.3337719454028942E-3</v>
      </c>
      <c r="R69" s="86">
        <v>8.472927814372793E-3</v>
      </c>
    </row>
    <row r="70" spans="2:18">
      <c r="B70" s="140">
        <v>44657</v>
      </c>
      <c r="C70" s="141">
        <v>17807.650390999999</v>
      </c>
      <c r="D70" s="142">
        <f t="shared" si="0"/>
        <v>-8.3391803233976245E-3</v>
      </c>
      <c r="E70" s="50"/>
      <c r="I70" s="129">
        <v>44657</v>
      </c>
      <c r="J70" s="130">
        <v>1232.4985349999999</v>
      </c>
      <c r="K70" s="131">
        <f t="shared" si="1"/>
        <v>-5.4026639928717252E-3</v>
      </c>
      <c r="P70" s="86">
        <v>40</v>
      </c>
      <c r="Q70" s="86">
        <v>-8.4038256033579332E-3</v>
      </c>
      <c r="R70" s="86">
        <v>-2.2674996021122027E-2</v>
      </c>
    </row>
    <row r="71" spans="2:18">
      <c r="B71" s="140">
        <v>44658</v>
      </c>
      <c r="C71" s="141">
        <v>17639.550781000002</v>
      </c>
      <c r="D71" s="142">
        <f t="shared" si="0"/>
        <v>-9.4397411398504973E-3</v>
      </c>
      <c r="E71" s="50"/>
      <c r="I71" s="129">
        <v>44658</v>
      </c>
      <c r="J71" s="130">
        <v>1229.889404</v>
      </c>
      <c r="K71" s="131">
        <f t="shared" si="1"/>
        <v>-2.1169445041165375E-3</v>
      </c>
      <c r="P71" s="86">
        <v>41</v>
      </c>
      <c r="Q71" s="86">
        <v>-4.8241765902633481E-3</v>
      </c>
      <c r="R71" s="86">
        <v>-3.3910132517798827E-2</v>
      </c>
    </row>
    <row r="72" spans="2:18">
      <c r="B72" s="140">
        <v>44659</v>
      </c>
      <c r="C72" s="141">
        <v>17784.349609000001</v>
      </c>
      <c r="D72" s="142">
        <f t="shared" ref="D72:D135" si="2">(C72-C71)/C71</f>
        <v>8.2087593838254345E-3</v>
      </c>
      <c r="E72" s="50"/>
      <c r="I72" s="129">
        <v>44659</v>
      </c>
      <c r="J72" s="130">
        <v>1248.3496090000001</v>
      </c>
      <c r="K72" s="131">
        <f t="shared" ref="K72:K135" si="3">(J72-J71)/J71</f>
        <v>1.5009646347030474E-2</v>
      </c>
      <c r="P72" s="86">
        <v>42</v>
      </c>
      <c r="Q72" s="86">
        <v>-1.1549821401232075E-2</v>
      </c>
      <c r="R72" s="86">
        <v>-6.8772870357185715E-3</v>
      </c>
    </row>
    <row r="73" spans="2:18">
      <c r="B73" s="140">
        <v>44662</v>
      </c>
      <c r="C73" s="141">
        <v>17674.949218999998</v>
      </c>
      <c r="D73" s="142">
        <f t="shared" si="2"/>
        <v>-6.1514979408996227E-3</v>
      </c>
      <c r="E73" s="50"/>
      <c r="I73" s="129">
        <v>44662</v>
      </c>
      <c r="J73" s="130">
        <v>1255.487427</v>
      </c>
      <c r="K73" s="131">
        <f t="shared" si="3"/>
        <v>5.7178036893989403E-3</v>
      </c>
      <c r="P73" s="86">
        <v>43</v>
      </c>
      <c r="Q73" s="86">
        <v>-1.781043608374152E-2</v>
      </c>
      <c r="R73" s="86">
        <v>6.7863495429539566E-3</v>
      </c>
    </row>
    <row r="74" spans="2:18">
      <c r="B74" s="140">
        <v>44663</v>
      </c>
      <c r="C74" s="141">
        <v>17530.300781000002</v>
      </c>
      <c r="D74" s="142">
        <f t="shared" si="2"/>
        <v>-8.1838106694249596E-3</v>
      </c>
      <c r="E74" s="50"/>
      <c r="I74" s="129">
        <v>44663</v>
      </c>
      <c r="J74" s="130">
        <v>1236.3876949999999</v>
      </c>
      <c r="K74" s="131">
        <f t="shared" si="3"/>
        <v>-1.5213001412239654E-2</v>
      </c>
      <c r="P74" s="86">
        <v>44</v>
      </c>
      <c r="Q74" s="86">
        <v>7.3562110763738635E-3</v>
      </c>
      <c r="R74" s="86">
        <v>-4.2778459489101785E-3</v>
      </c>
    </row>
    <row r="75" spans="2:18">
      <c r="B75" s="140">
        <v>44664</v>
      </c>
      <c r="C75" s="141">
        <v>17475.650390999999</v>
      </c>
      <c r="D75" s="142">
        <f t="shared" si="2"/>
        <v>-3.1174815927422455E-3</v>
      </c>
      <c r="E75" s="50"/>
      <c r="I75" s="129">
        <v>44664</v>
      </c>
      <c r="J75" s="130">
        <v>1254.0107419999999</v>
      </c>
      <c r="K75" s="131">
        <f t="shared" si="3"/>
        <v>1.4253657708879127E-2</v>
      </c>
      <c r="P75" s="86">
        <v>45</v>
      </c>
      <c r="Q75" s="86">
        <v>1.5936524290038296E-2</v>
      </c>
      <c r="R75" s="86">
        <v>1.5139652641621079E-4</v>
      </c>
    </row>
    <row r="76" spans="2:18">
      <c r="B76" s="140">
        <v>44669</v>
      </c>
      <c r="C76" s="141">
        <v>17173.650390999999</v>
      </c>
      <c r="D76" s="142">
        <f t="shared" si="2"/>
        <v>-1.7281188009776776E-2</v>
      </c>
      <c r="E76" s="50"/>
      <c r="I76" s="129">
        <v>44669</v>
      </c>
      <c r="J76" s="130">
        <v>1260.0164789999999</v>
      </c>
      <c r="K76" s="131">
        <f t="shared" si="3"/>
        <v>4.7892229299579267E-3</v>
      </c>
      <c r="P76" s="86">
        <v>46</v>
      </c>
      <c r="Q76" s="86">
        <v>1.1773609163581904E-2</v>
      </c>
      <c r="R76" s="86">
        <v>2.0304013558617981E-2</v>
      </c>
    </row>
    <row r="77" spans="2:18">
      <c r="B77" s="140">
        <v>44670</v>
      </c>
      <c r="C77" s="141">
        <v>16958.650390999999</v>
      </c>
      <c r="D77" s="142">
        <f t="shared" si="2"/>
        <v>-1.2519178806194436E-2</v>
      </c>
      <c r="E77" s="50"/>
      <c r="I77" s="129">
        <v>44670</v>
      </c>
      <c r="J77" s="130">
        <v>1265.923828</v>
      </c>
      <c r="K77" s="131">
        <f t="shared" si="3"/>
        <v>4.6883109058132155E-3</v>
      </c>
      <c r="P77" s="86">
        <v>47</v>
      </c>
      <c r="Q77" s="86">
        <v>1.7644123402313747E-3</v>
      </c>
      <c r="R77" s="86">
        <v>-3.2889571249689629E-2</v>
      </c>
    </row>
    <row r="78" spans="2:18">
      <c r="B78" s="140">
        <v>44671</v>
      </c>
      <c r="C78" s="141">
        <v>17136.550781000002</v>
      </c>
      <c r="D78" s="142">
        <f t="shared" si="2"/>
        <v>1.0490244559461803E-2</v>
      </c>
      <c r="E78" s="50"/>
      <c r="I78" s="129">
        <v>44671</v>
      </c>
      <c r="J78" s="130">
        <v>1279.2641599999999</v>
      </c>
      <c r="K78" s="131">
        <f t="shared" si="3"/>
        <v>1.0538021091739803E-2</v>
      </c>
      <c r="P78" s="86">
        <v>48</v>
      </c>
      <c r="Q78" s="86">
        <v>1.117511008785706E-2</v>
      </c>
      <c r="R78" s="86">
        <v>-8.3376860438972213E-3</v>
      </c>
    </row>
    <row r="79" spans="2:18">
      <c r="B79" s="140">
        <v>44672</v>
      </c>
      <c r="C79" s="141">
        <v>17392.599609000001</v>
      </c>
      <c r="D79" s="142">
        <f t="shared" si="2"/>
        <v>1.494167824506965E-2</v>
      </c>
      <c r="E79" s="50"/>
      <c r="I79" s="129">
        <v>44672</v>
      </c>
      <c r="J79" s="130">
        <v>1300.3336179999999</v>
      </c>
      <c r="K79" s="131">
        <f t="shared" si="3"/>
        <v>1.6469982243542212E-2</v>
      </c>
      <c r="P79" s="86">
        <v>49</v>
      </c>
      <c r="Q79" s="86">
        <v>-9.2844845492064919E-3</v>
      </c>
      <c r="R79" s="86">
        <v>-3.1733897377063478E-3</v>
      </c>
    </row>
    <row r="80" spans="2:18">
      <c r="B80" s="140">
        <v>44673</v>
      </c>
      <c r="C80" s="141">
        <v>17171.949218999998</v>
      </c>
      <c r="D80" s="142">
        <f t="shared" si="2"/>
        <v>-1.2686452569506885E-2</v>
      </c>
      <c r="E80" s="50"/>
      <c r="I80" s="129">
        <v>44673</v>
      </c>
      <c r="J80" s="130">
        <v>1295.9522710000001</v>
      </c>
      <c r="K80" s="131">
        <f t="shared" si="3"/>
        <v>-3.3694022359727826E-3</v>
      </c>
      <c r="P80" s="86">
        <v>50</v>
      </c>
      <c r="Q80" s="86">
        <v>1.4425685119932355E-2</v>
      </c>
      <c r="R80" s="86">
        <v>3.5756798252318131E-2</v>
      </c>
    </row>
    <row r="81" spans="2:18">
      <c r="B81" s="140">
        <v>44676</v>
      </c>
      <c r="C81" s="141">
        <v>16953.949218999998</v>
      </c>
      <c r="D81" s="142">
        <f t="shared" si="2"/>
        <v>-1.2695122564117107E-2</v>
      </c>
      <c r="E81" s="50"/>
      <c r="I81" s="129">
        <v>44676</v>
      </c>
      <c r="J81" s="130">
        <v>1281.7749020000001</v>
      </c>
      <c r="K81" s="131">
        <f t="shared" si="3"/>
        <v>-1.0939730819762572E-2</v>
      </c>
      <c r="P81" s="86">
        <v>51</v>
      </c>
      <c r="Q81" s="86">
        <v>1.4133526935120589E-2</v>
      </c>
      <c r="R81" s="86">
        <v>-4.6733785906238438E-3</v>
      </c>
    </row>
    <row r="82" spans="2:18">
      <c r="B82" s="140">
        <v>44677</v>
      </c>
      <c r="C82" s="141">
        <v>17200.800781000002</v>
      </c>
      <c r="D82" s="142">
        <f t="shared" si="2"/>
        <v>1.4560121586500989E-2</v>
      </c>
      <c r="E82" s="50"/>
      <c r="I82" s="129">
        <v>44677</v>
      </c>
      <c r="J82" s="130">
        <v>1305.453125</v>
      </c>
      <c r="K82" s="131">
        <f t="shared" si="3"/>
        <v>1.8472996282774684E-2</v>
      </c>
      <c r="P82" s="86">
        <v>52</v>
      </c>
      <c r="Q82" s="86">
        <v>-7.3442570342601285E-3</v>
      </c>
      <c r="R82" s="86">
        <v>-1.329856941141132E-3</v>
      </c>
    </row>
    <row r="83" spans="2:18">
      <c r="B83" s="140">
        <v>44678</v>
      </c>
      <c r="C83" s="141">
        <v>17038.400390999999</v>
      </c>
      <c r="D83" s="142">
        <f t="shared" si="2"/>
        <v>-9.4414435739172062E-3</v>
      </c>
      <c r="E83" s="50"/>
      <c r="I83" s="129">
        <v>44678</v>
      </c>
      <c r="J83" s="130">
        <v>1295.6568600000001</v>
      </c>
      <c r="K83" s="131">
        <f t="shared" si="3"/>
        <v>-7.5041108810398292E-3</v>
      </c>
      <c r="P83" s="86">
        <v>53</v>
      </c>
      <c r="Q83" s="86">
        <v>8.9473185243225482E-3</v>
      </c>
      <c r="R83" s="86">
        <v>-1.9675953226041189E-2</v>
      </c>
    </row>
    <row r="84" spans="2:18">
      <c r="B84" s="140">
        <v>44679</v>
      </c>
      <c r="C84" s="141">
        <v>17245.050781000002</v>
      </c>
      <c r="D84" s="142">
        <f t="shared" si="2"/>
        <v>1.2128508853986029E-2</v>
      </c>
      <c r="E84" s="50"/>
      <c r="I84" s="129">
        <v>44679</v>
      </c>
      <c r="J84" s="130">
        <v>1296.73999</v>
      </c>
      <c r="K84" s="131">
        <f t="shared" si="3"/>
        <v>8.3596979527433119E-4</v>
      </c>
      <c r="P84" s="86">
        <v>54</v>
      </c>
      <c r="Q84" s="86">
        <v>-2.9454232758560068E-3</v>
      </c>
      <c r="R84" s="86">
        <v>1.7523960908008035E-2</v>
      </c>
    </row>
    <row r="85" spans="2:18">
      <c r="B85" s="140">
        <v>44680</v>
      </c>
      <c r="C85" s="141">
        <v>17102.550781000002</v>
      </c>
      <c r="D85" s="142">
        <f t="shared" si="2"/>
        <v>-8.2632403818144479E-3</v>
      </c>
      <c r="E85" s="50"/>
      <c r="I85" s="129">
        <v>44680</v>
      </c>
      <c r="J85" s="130">
        <v>1291.521851</v>
      </c>
      <c r="K85" s="131">
        <f t="shared" si="3"/>
        <v>-4.024044172494491E-3</v>
      </c>
      <c r="P85" s="86">
        <v>55</v>
      </c>
      <c r="Q85" s="86">
        <v>-8.8181777491627906E-4</v>
      </c>
      <c r="R85" s="86">
        <v>5.0873904098352749E-3</v>
      </c>
    </row>
    <row r="86" spans="2:18">
      <c r="B86" s="140">
        <v>44683</v>
      </c>
      <c r="C86" s="141">
        <v>17069.099609000001</v>
      </c>
      <c r="D86" s="142">
        <f t="shared" si="2"/>
        <v>-1.9559171277049136E-3</v>
      </c>
      <c r="E86" s="50"/>
      <c r="I86" s="129">
        <v>44683</v>
      </c>
      <c r="J86" s="130">
        <v>1269.9110109999999</v>
      </c>
      <c r="K86" s="131">
        <f t="shared" si="3"/>
        <v>-1.6732848912519138E-2</v>
      </c>
      <c r="P86" s="86">
        <v>56</v>
      </c>
      <c r="Q86" s="86">
        <v>-2.9575793395897223E-3</v>
      </c>
      <c r="R86" s="86">
        <v>5.0516673869213232E-3</v>
      </c>
    </row>
    <row r="87" spans="2:18">
      <c r="B87" s="140">
        <v>44685</v>
      </c>
      <c r="C87" s="141">
        <v>16677.599609000001</v>
      </c>
      <c r="D87" s="142">
        <f t="shared" si="2"/>
        <v>-2.293618345244024E-2</v>
      </c>
      <c r="E87" s="50"/>
      <c r="I87" s="129">
        <v>44685</v>
      </c>
      <c r="J87" s="130">
        <v>1233.630737</v>
      </c>
      <c r="K87" s="131">
        <f t="shared" si="3"/>
        <v>-2.8569146724250243E-2</v>
      </c>
      <c r="P87" s="86">
        <v>57</v>
      </c>
      <c r="Q87" s="86">
        <v>3.1984406481168214E-3</v>
      </c>
      <c r="R87" s="86">
        <v>-1.9305675320140693E-2</v>
      </c>
    </row>
    <row r="88" spans="2:18">
      <c r="B88" s="140">
        <v>44686</v>
      </c>
      <c r="C88" s="141">
        <v>16682.650390999999</v>
      </c>
      <c r="D88" s="142">
        <f t="shared" si="2"/>
        <v>3.0284825864705374E-4</v>
      </c>
      <c r="E88" s="50"/>
      <c r="I88" s="129">
        <v>44686</v>
      </c>
      <c r="J88" s="130">
        <v>1229.791138</v>
      </c>
      <c r="K88" s="131">
        <f t="shared" si="3"/>
        <v>-3.1124378510033082E-3</v>
      </c>
      <c r="P88" s="86">
        <v>58</v>
      </c>
      <c r="Q88" s="86">
        <v>4.7049922885415351E-3</v>
      </c>
      <c r="R88" s="86">
        <v>1.6134531021796142E-2</v>
      </c>
    </row>
    <row r="89" spans="2:18">
      <c r="B89" s="140">
        <v>44687</v>
      </c>
      <c r="C89" s="141">
        <v>16411.25</v>
      </c>
      <c r="D89" s="142">
        <f t="shared" si="2"/>
        <v>-1.6268421661968954E-2</v>
      </c>
      <c r="E89" s="50"/>
      <c r="I89" s="129">
        <v>44687</v>
      </c>
      <c r="J89" s="130">
        <v>1219.404297</v>
      </c>
      <c r="K89" s="131">
        <f t="shared" si="3"/>
        <v>-8.4460203680537527E-3</v>
      </c>
      <c r="P89" s="86">
        <v>59</v>
      </c>
      <c r="Q89" s="86">
        <v>7.7433706982173566E-3</v>
      </c>
      <c r="R89" s="86">
        <v>-1.0083710313515248E-2</v>
      </c>
    </row>
    <row r="90" spans="2:18">
      <c r="B90" s="140">
        <v>44690</v>
      </c>
      <c r="C90" s="141">
        <v>16301.849609000001</v>
      </c>
      <c r="D90" s="142">
        <f t="shared" si="2"/>
        <v>-6.6661827100311811E-3</v>
      </c>
      <c r="E90" s="50"/>
      <c r="I90" s="129">
        <v>44690</v>
      </c>
      <c r="J90" s="130">
        <v>1196.7104489999999</v>
      </c>
      <c r="K90" s="131">
        <f t="shared" si="3"/>
        <v>-1.8610601960179999E-2</v>
      </c>
      <c r="P90" s="86">
        <v>60</v>
      </c>
      <c r="Q90" s="86">
        <v>-1.3291415532931611E-3</v>
      </c>
      <c r="R90" s="86">
        <v>2.7627104440200471E-3</v>
      </c>
    </row>
    <row r="91" spans="2:18">
      <c r="B91" s="140">
        <v>44691</v>
      </c>
      <c r="C91" s="141">
        <v>16240.049805000001</v>
      </c>
      <c r="D91" s="142">
        <f t="shared" si="2"/>
        <v>-3.7909688460063757E-3</v>
      </c>
      <c r="E91" s="50"/>
      <c r="I91" s="129">
        <v>44691</v>
      </c>
      <c r="J91" s="130">
        <v>1205.3745120000001</v>
      </c>
      <c r="K91" s="131">
        <f t="shared" si="3"/>
        <v>7.2398991813266683E-3</v>
      </c>
      <c r="P91" s="86">
        <v>61</v>
      </c>
      <c r="Q91" s="86">
        <v>9.1126042180928023E-3</v>
      </c>
      <c r="R91" s="86">
        <v>8.7173960644138637E-3</v>
      </c>
    </row>
    <row r="92" spans="2:18">
      <c r="B92" s="140">
        <v>44692</v>
      </c>
      <c r="C92" s="141">
        <v>16167.099609000001</v>
      </c>
      <c r="D92" s="142">
        <f t="shared" si="2"/>
        <v>-4.4919933667654033E-3</v>
      </c>
      <c r="E92" s="50"/>
      <c r="I92" s="129">
        <v>44692</v>
      </c>
      <c r="J92" s="130">
        <v>1210.2479249999999</v>
      </c>
      <c r="K92" s="131">
        <f t="shared" si="3"/>
        <v>4.0430695617693635E-3</v>
      </c>
      <c r="P92" s="86">
        <v>62</v>
      </c>
      <c r="Q92" s="86">
        <v>1.6657594028917342E-2</v>
      </c>
      <c r="R92" s="86">
        <v>-1.0519970839341032E-2</v>
      </c>
    </row>
    <row r="93" spans="2:18">
      <c r="B93" s="140">
        <v>44693</v>
      </c>
      <c r="C93" s="141">
        <v>15808</v>
      </c>
      <c r="D93" s="142">
        <f t="shared" si="2"/>
        <v>-2.2211752119105827E-2</v>
      </c>
      <c r="E93" s="50"/>
      <c r="I93" s="129">
        <v>44693</v>
      </c>
      <c r="J93" s="130">
        <v>1181.0070800000001</v>
      </c>
      <c r="K93" s="131">
        <f t="shared" si="3"/>
        <v>-2.4161037086677765E-2</v>
      </c>
      <c r="P93" s="86">
        <v>63</v>
      </c>
      <c r="Q93" s="86">
        <v>-3.9243032998138028E-3</v>
      </c>
      <c r="R93" s="86">
        <v>7.030579546322191E-2</v>
      </c>
    </row>
    <row r="94" spans="2:18">
      <c r="B94" s="140">
        <v>44694</v>
      </c>
      <c r="C94" s="141">
        <v>15782.150390999999</v>
      </c>
      <c r="D94" s="142">
        <f t="shared" si="2"/>
        <v>-1.6352232413968106E-3</v>
      </c>
      <c r="E94" s="50"/>
      <c r="I94" s="129">
        <v>44694</v>
      </c>
      <c r="J94" s="130">
        <v>1215.8596190000001</v>
      </c>
      <c r="K94" s="131">
        <f t="shared" si="3"/>
        <v>2.9510863728268229E-2</v>
      </c>
      <c r="P94" s="86">
        <v>64</v>
      </c>
      <c r="Q94" s="86">
        <v>-6.2285681812906035E-3</v>
      </c>
      <c r="R94" s="86">
        <v>8.2590418841887829E-4</v>
      </c>
    </row>
    <row r="95" spans="2:18">
      <c r="B95" s="140">
        <v>44697</v>
      </c>
      <c r="C95" s="141">
        <v>15842.299805000001</v>
      </c>
      <c r="D95" s="142">
        <f t="shared" si="2"/>
        <v>3.8112305680664672E-3</v>
      </c>
      <c r="E95" s="50"/>
      <c r="I95" s="129">
        <v>44697</v>
      </c>
      <c r="J95" s="130">
        <v>1216.8935550000001</v>
      </c>
      <c r="K95" s="131">
        <f t="shared" si="3"/>
        <v>8.5037448718826118E-4</v>
      </c>
      <c r="P95" s="86">
        <v>65</v>
      </c>
      <c r="Q95" s="86">
        <v>-7.0678469517495368E-3</v>
      </c>
      <c r="R95" s="86">
        <v>4.9509024476329993E-3</v>
      </c>
    </row>
    <row r="96" spans="2:18">
      <c r="B96" s="140">
        <v>44698</v>
      </c>
      <c r="C96" s="141">
        <v>16259.299805000001</v>
      </c>
      <c r="D96" s="142">
        <f t="shared" si="2"/>
        <v>2.6321935901528027E-2</v>
      </c>
      <c r="E96" s="50"/>
      <c r="I96" s="129">
        <v>44698</v>
      </c>
      <c r="J96" s="130">
        <v>1233.2861330000001</v>
      </c>
      <c r="K96" s="131">
        <f t="shared" si="3"/>
        <v>1.3470839690658034E-2</v>
      </c>
      <c r="P96" s="86">
        <v>66</v>
      </c>
      <c r="Q96" s="86">
        <v>6.3907566969738025E-3</v>
      </c>
      <c r="R96" s="86">
        <v>8.6188896500566711E-3</v>
      </c>
    </row>
    <row r="97" spans="2:18">
      <c r="B97" s="140">
        <v>44699</v>
      </c>
      <c r="C97" s="141">
        <v>16240.299805000001</v>
      </c>
      <c r="D97" s="142">
        <f t="shared" si="2"/>
        <v>-1.1685620062284103E-3</v>
      </c>
      <c r="E97" s="50"/>
      <c r="I97" s="129">
        <v>44699</v>
      </c>
      <c r="J97" s="130">
        <v>1223.2929690000001</v>
      </c>
      <c r="K97" s="131">
        <f t="shared" si="3"/>
        <v>-8.1028755068309668E-3</v>
      </c>
      <c r="P97" s="86">
        <v>67</v>
      </c>
      <c r="Q97" s="86">
        <v>-4.5602593039535963E-3</v>
      </c>
      <c r="R97" s="86">
        <v>1.0278062993352537E-2</v>
      </c>
    </row>
    <row r="98" spans="2:18">
      <c r="B98" s="140">
        <v>44700</v>
      </c>
      <c r="C98" s="141">
        <v>15809.400390999999</v>
      </c>
      <c r="D98" s="142">
        <f t="shared" si="2"/>
        <v>-2.6532725329820431E-2</v>
      </c>
      <c r="E98" s="50"/>
      <c r="I98" s="129">
        <v>44700</v>
      </c>
      <c r="J98" s="130">
        <v>1196.267456</v>
      </c>
      <c r="K98" s="131">
        <f t="shared" si="3"/>
        <v>-2.2092428947819813E-2</v>
      </c>
      <c r="P98" s="86">
        <v>68</v>
      </c>
      <c r="Q98" s="86">
        <v>-6.1100845407653266E-3</v>
      </c>
      <c r="R98" s="86">
        <v>-9.1029168714743276E-3</v>
      </c>
    </row>
    <row r="99" spans="2:18">
      <c r="B99" s="140">
        <v>44701</v>
      </c>
      <c r="C99" s="141">
        <v>16266.150390999999</v>
      </c>
      <c r="D99" s="142">
        <f t="shared" si="2"/>
        <v>2.8891038793604048E-2</v>
      </c>
      <c r="E99" s="50"/>
      <c r="I99" s="129">
        <v>44701</v>
      </c>
      <c r="J99" s="130">
        <v>1210.3461910000001</v>
      </c>
      <c r="K99" s="131">
        <f t="shared" si="3"/>
        <v>1.1768885736535535E-2</v>
      </c>
      <c r="P99" s="86">
        <v>69</v>
      </c>
      <c r="Q99" s="86">
        <v>-2.2465429948078006E-3</v>
      </c>
      <c r="R99" s="86">
        <v>1.6500200703686928E-2</v>
      </c>
    </row>
    <row r="100" spans="2:18">
      <c r="B100" s="140">
        <v>44704</v>
      </c>
      <c r="C100" s="141">
        <v>16214.700194999999</v>
      </c>
      <c r="D100" s="142">
        <f t="shared" si="2"/>
        <v>-3.1630222740635042E-3</v>
      </c>
      <c r="E100" s="50"/>
      <c r="I100" s="129">
        <v>44704</v>
      </c>
      <c r="J100" s="130">
        <v>1226.19751</v>
      </c>
      <c r="K100" s="131">
        <f t="shared" si="3"/>
        <v>1.3096516614724385E-2</v>
      </c>
      <c r="P100" s="86">
        <v>70</v>
      </c>
      <c r="Q100" s="86">
        <v>-1.3047670864454308E-2</v>
      </c>
      <c r="R100" s="86">
        <v>1.7836893794412233E-2</v>
      </c>
    </row>
    <row r="101" spans="2:18">
      <c r="B101" s="140">
        <v>44705</v>
      </c>
      <c r="C101" s="141">
        <v>16125.150390999999</v>
      </c>
      <c r="D101" s="142">
        <f t="shared" si="2"/>
        <v>-5.5227542244422126E-3</v>
      </c>
      <c r="E101" s="50"/>
      <c r="I101" s="129">
        <v>44705</v>
      </c>
      <c r="J101" s="130">
        <v>1198.8763429999999</v>
      </c>
      <c r="K101" s="131">
        <f t="shared" si="3"/>
        <v>-2.2281212265714077E-2</v>
      </c>
      <c r="P101" s="86">
        <v>71</v>
      </c>
      <c r="Q101" s="86">
        <v>-9.4162011904948134E-3</v>
      </c>
      <c r="R101" s="86">
        <v>1.4104512096308029E-2</v>
      </c>
    </row>
    <row r="102" spans="2:18">
      <c r="B102" s="140">
        <v>44706</v>
      </c>
      <c r="C102" s="141">
        <v>16025.799805000001</v>
      </c>
      <c r="D102" s="142">
        <f t="shared" si="2"/>
        <v>-6.1612191880982166E-3</v>
      </c>
      <c r="E102" s="50"/>
      <c r="I102" s="129">
        <v>44706</v>
      </c>
      <c r="J102" s="130">
        <v>1210.4448239999999</v>
      </c>
      <c r="K102" s="131">
        <f t="shared" si="3"/>
        <v>9.6494363806126256E-3</v>
      </c>
      <c r="P102" s="86">
        <v>72</v>
      </c>
      <c r="Q102" s="86">
        <v>8.1305988250988202E-3</v>
      </c>
      <c r="R102" s="86">
        <v>2.4074222666409829E-3</v>
      </c>
    </row>
    <row r="103" spans="2:18">
      <c r="B103" s="140">
        <v>44707</v>
      </c>
      <c r="C103" s="141">
        <v>16170.150390999999</v>
      </c>
      <c r="D103" s="142">
        <f t="shared" si="2"/>
        <v>9.0073873227195633E-3</v>
      </c>
      <c r="E103" s="50"/>
      <c r="I103" s="129">
        <v>44707</v>
      </c>
      <c r="J103" s="130">
        <v>1154.6213379999999</v>
      </c>
      <c r="K103" s="131">
        <f t="shared" si="3"/>
        <v>-4.6118158294508105E-2</v>
      </c>
      <c r="P103" s="86">
        <v>73</v>
      </c>
      <c r="Q103" s="86">
        <v>1.1525226122913771E-2</v>
      </c>
      <c r="R103" s="86">
        <v>4.9447561206284411E-3</v>
      </c>
    </row>
    <row r="104" spans="2:18">
      <c r="B104" s="140">
        <v>44708</v>
      </c>
      <c r="C104" s="141">
        <v>16352.450194999999</v>
      </c>
      <c r="D104" s="142">
        <f t="shared" si="2"/>
        <v>1.1273847156144254E-2</v>
      </c>
      <c r="E104" s="50"/>
      <c r="I104" s="129">
        <v>44708</v>
      </c>
      <c r="J104" s="130">
        <v>1163.0882570000001</v>
      </c>
      <c r="K104" s="131">
        <f t="shared" si="3"/>
        <v>7.33306991768083E-3</v>
      </c>
      <c r="P104" s="86">
        <v>74</v>
      </c>
      <c r="Q104" s="86">
        <v>-9.5437628084482761E-3</v>
      </c>
      <c r="R104" s="86">
        <v>6.1743605724754935E-3</v>
      </c>
    </row>
    <row r="105" spans="2:18">
      <c r="B105" s="140">
        <v>44711</v>
      </c>
      <c r="C105" s="141">
        <v>16661.400390999999</v>
      </c>
      <c r="D105" s="142">
        <f t="shared" si="2"/>
        <v>1.8893205135366554E-2</v>
      </c>
      <c r="E105" s="50"/>
      <c r="I105" s="129">
        <v>44711</v>
      </c>
      <c r="J105" s="130">
        <v>1198.7779539999999</v>
      </c>
      <c r="K105" s="131">
        <f t="shared" si="3"/>
        <v>3.0685287023751451E-2</v>
      </c>
      <c r="P105" s="86">
        <v>75</v>
      </c>
      <c r="Q105" s="86">
        <v>-9.5503744761612913E-3</v>
      </c>
      <c r="R105" s="86">
        <v>-1.3893563436012807E-3</v>
      </c>
    </row>
    <row r="106" spans="2:18">
      <c r="B106" s="140">
        <v>44712</v>
      </c>
      <c r="C106" s="141">
        <v>16584.550781000002</v>
      </c>
      <c r="D106" s="142">
        <f t="shared" si="2"/>
        <v>-4.6124340209427652E-3</v>
      </c>
      <c r="E106" s="50"/>
      <c r="I106" s="129">
        <v>44712</v>
      </c>
      <c r="J106" s="130">
        <v>1183.2222899999999</v>
      </c>
      <c r="K106" s="131">
        <f t="shared" si="3"/>
        <v>-1.2976267997000536E-2</v>
      </c>
      <c r="P106" s="86">
        <v>76</v>
      </c>
      <c r="Q106" s="86">
        <v>1.1234254103488221E-2</v>
      </c>
      <c r="R106" s="86">
        <v>7.2387421792864635E-3</v>
      </c>
    </row>
    <row r="107" spans="2:18">
      <c r="B107" s="140">
        <v>44713</v>
      </c>
      <c r="C107" s="141">
        <v>16522.75</v>
      </c>
      <c r="D107" s="142">
        <f t="shared" si="2"/>
        <v>-3.726406691147972E-3</v>
      </c>
      <c r="E107" s="50"/>
      <c r="I107" s="129">
        <v>44713</v>
      </c>
      <c r="J107" s="130">
        <v>1172.737061</v>
      </c>
      <c r="K107" s="131">
        <f t="shared" si="3"/>
        <v>-8.8615884678777401E-3</v>
      </c>
      <c r="P107" s="86">
        <v>77</v>
      </c>
      <c r="Q107" s="86">
        <v>-7.0691452141889537E-3</v>
      </c>
      <c r="R107" s="86">
        <v>-4.3496566685087557E-4</v>
      </c>
    </row>
    <row r="108" spans="2:18">
      <c r="B108" s="140">
        <v>44714</v>
      </c>
      <c r="C108" s="141">
        <v>16628</v>
      </c>
      <c r="D108" s="142">
        <f t="shared" si="2"/>
        <v>6.3700049931155528E-3</v>
      </c>
      <c r="E108" s="50"/>
      <c r="I108" s="129">
        <v>44714</v>
      </c>
      <c r="J108" s="130">
        <v>1153.0952150000001</v>
      </c>
      <c r="K108" s="131">
        <f t="shared" si="3"/>
        <v>-1.6748721135538484E-2</v>
      </c>
      <c r="P108" s="86">
        <v>78</v>
      </c>
      <c r="Q108" s="86">
        <v>9.3799259156512414E-3</v>
      </c>
      <c r="R108" s="86">
        <v>-8.5439561203769099E-3</v>
      </c>
    </row>
    <row r="109" spans="2:18">
      <c r="B109" s="140">
        <v>44715</v>
      </c>
      <c r="C109" s="141">
        <v>16584.300781000002</v>
      </c>
      <c r="D109" s="142">
        <f t="shared" si="2"/>
        <v>-2.628050216502181E-3</v>
      </c>
      <c r="E109" s="50"/>
      <c r="I109" s="129">
        <v>44715</v>
      </c>
      <c r="J109" s="130">
        <v>1138.277832</v>
      </c>
      <c r="K109" s="131">
        <f t="shared" si="3"/>
        <v>-1.2850094950745298E-2</v>
      </c>
      <c r="P109" s="86">
        <v>79</v>
      </c>
      <c r="Q109" s="86">
        <v>-6.1706569965129469E-3</v>
      </c>
      <c r="R109" s="86">
        <v>2.1466128240184559E-3</v>
      </c>
    </row>
    <row r="110" spans="2:18">
      <c r="B110" s="140">
        <v>44718</v>
      </c>
      <c r="C110" s="141">
        <v>16569.550781000002</v>
      </c>
      <c r="D110" s="142">
        <f t="shared" si="2"/>
        <v>-8.8939535014334224E-4</v>
      </c>
      <c r="E110" s="50"/>
      <c r="I110" s="129">
        <v>44718</v>
      </c>
      <c r="J110" s="130">
        <v>1131.3861079999999</v>
      </c>
      <c r="K110" s="131">
        <f t="shared" si="3"/>
        <v>-6.054518331338344E-3</v>
      </c>
      <c r="P110" s="86">
        <v>80</v>
      </c>
      <c r="Q110" s="86">
        <v>-1.3607433357145718E-3</v>
      </c>
      <c r="R110" s="86">
        <v>-1.5372105576804566E-2</v>
      </c>
    </row>
    <row r="111" spans="2:18">
      <c r="B111" s="140">
        <v>44719</v>
      </c>
      <c r="C111" s="141">
        <v>16416.349609000001</v>
      </c>
      <c r="D111" s="142">
        <f t="shared" si="2"/>
        <v>-9.2459460141595343E-3</v>
      </c>
      <c r="E111" s="50"/>
      <c r="I111" s="129">
        <v>44719</v>
      </c>
      <c r="J111" s="130">
        <v>1115.338013</v>
      </c>
      <c r="K111" s="131">
        <f t="shared" si="3"/>
        <v>-1.4184454702531912E-2</v>
      </c>
      <c r="P111" s="86">
        <v>81</v>
      </c>
      <c r="Q111" s="86">
        <v>-1.7360124616320818E-2</v>
      </c>
      <c r="R111" s="86">
        <v>-1.1209022107929425E-2</v>
      </c>
    </row>
    <row r="112" spans="2:18">
      <c r="B112" s="140">
        <v>44720</v>
      </c>
      <c r="C112" s="141">
        <v>16356.25</v>
      </c>
      <c r="D112" s="142">
        <f t="shared" si="2"/>
        <v>-3.6609605930329439E-3</v>
      </c>
      <c r="E112" s="50"/>
      <c r="I112" s="129">
        <v>44720</v>
      </c>
      <c r="J112" s="130">
        <v>1091.955078</v>
      </c>
      <c r="K112" s="131">
        <f t="shared" si="3"/>
        <v>-2.0964886632981718E-2</v>
      </c>
      <c r="P112" s="86">
        <v>82</v>
      </c>
      <c r="Q112" s="86">
        <v>3.6177286500085979E-4</v>
      </c>
      <c r="R112" s="86">
        <v>-3.474210716004168E-3</v>
      </c>
    </row>
    <row r="113" spans="2:18">
      <c r="B113" s="140">
        <v>44721</v>
      </c>
      <c r="C113" s="141">
        <v>16478.099609000001</v>
      </c>
      <c r="D113" s="142">
        <f t="shared" si="2"/>
        <v>7.4497277187619889E-3</v>
      </c>
      <c r="E113" s="50"/>
      <c r="I113" s="129">
        <v>44721</v>
      </c>
      <c r="J113" s="130">
        <v>1114.5504149999999</v>
      </c>
      <c r="K113" s="131">
        <f t="shared" si="3"/>
        <v>2.0692551786457257E-2</v>
      </c>
      <c r="P113" s="86">
        <v>83</v>
      </c>
      <c r="Q113" s="86">
        <v>-1.2275343445157412E-2</v>
      </c>
      <c r="R113" s="86">
        <v>3.8293230771036593E-3</v>
      </c>
    </row>
    <row r="114" spans="2:18">
      <c r="B114" s="140">
        <v>44722</v>
      </c>
      <c r="C114" s="141">
        <v>16201.799805000001</v>
      </c>
      <c r="D114" s="142">
        <f t="shared" si="2"/>
        <v>-1.6767698372759619E-2</v>
      </c>
      <c r="E114" s="50"/>
      <c r="I114" s="129">
        <v>44722</v>
      </c>
      <c r="J114" s="130">
        <v>1106.083374</v>
      </c>
      <c r="K114" s="131">
        <f t="shared" si="3"/>
        <v>-7.5968218988100968E-3</v>
      </c>
      <c r="P114" s="86">
        <v>84</v>
      </c>
      <c r="Q114" s="86">
        <v>-4.9527537429278111E-3</v>
      </c>
      <c r="R114" s="86">
        <v>-1.3657848217252189E-2</v>
      </c>
    </row>
    <row r="115" spans="2:18">
      <c r="B115" s="140">
        <v>44725</v>
      </c>
      <c r="C115" s="141">
        <v>15774.400390999999</v>
      </c>
      <c r="D115" s="142">
        <f t="shared" si="2"/>
        <v>-2.637974911084277E-2</v>
      </c>
      <c r="E115" s="50"/>
      <c r="I115" s="129">
        <v>44725</v>
      </c>
      <c r="J115" s="130">
        <v>1075.661255</v>
      </c>
      <c r="K115" s="131">
        <f t="shared" si="3"/>
        <v>-2.7504363337442286E-2</v>
      </c>
      <c r="P115" s="86">
        <v>85</v>
      </c>
      <c r="Q115" s="86">
        <v>-2.7601389228011967E-3</v>
      </c>
      <c r="R115" s="86">
        <v>1.0000038104127865E-2</v>
      </c>
    </row>
    <row r="116" spans="2:18">
      <c r="B116" s="140">
        <v>44726</v>
      </c>
      <c r="C116" s="141">
        <v>15732.099609000001</v>
      </c>
      <c r="D116" s="142">
        <f t="shared" si="2"/>
        <v>-2.6816095034669541E-3</v>
      </c>
      <c r="E116" s="50"/>
      <c r="I116" s="129">
        <v>44726</v>
      </c>
      <c r="J116" s="130">
        <v>1109.7188719999999</v>
      </c>
      <c r="K116" s="131">
        <f t="shared" si="3"/>
        <v>3.1662028209800991E-2</v>
      </c>
      <c r="P116" s="86">
        <v>86</v>
      </c>
      <c r="Q116" s="86">
        <v>-3.2947345480938348E-3</v>
      </c>
      <c r="R116" s="86">
        <v>7.3378041098631983E-3</v>
      </c>
    </row>
    <row r="117" spans="2:18">
      <c r="B117" s="140">
        <v>44727</v>
      </c>
      <c r="C117" s="141">
        <v>15692.150390999999</v>
      </c>
      <c r="D117" s="142">
        <f t="shared" si="2"/>
        <v>-2.5393443337434415E-3</v>
      </c>
      <c r="E117" s="50"/>
      <c r="I117" s="129">
        <v>44727</v>
      </c>
      <c r="J117" s="130">
        <v>1100.920044</v>
      </c>
      <c r="K117" s="131">
        <f t="shared" si="3"/>
        <v>-7.9288802074188383E-3</v>
      </c>
      <c r="P117" s="86">
        <v>87</v>
      </c>
      <c r="Q117" s="86">
        <v>-1.6807679145217799E-2</v>
      </c>
      <c r="R117" s="86">
        <v>-7.3533579414599669E-3</v>
      </c>
    </row>
    <row r="118" spans="2:18">
      <c r="B118" s="140">
        <v>44728</v>
      </c>
      <c r="C118" s="141">
        <v>15360.599609000001</v>
      </c>
      <c r="D118" s="142">
        <f t="shared" si="2"/>
        <v>-2.1128447901579792E-2</v>
      </c>
      <c r="E118" s="50"/>
      <c r="I118" s="129">
        <v>44728</v>
      </c>
      <c r="J118" s="130">
        <v>1080.950073</v>
      </c>
      <c r="K118" s="131">
        <f t="shared" si="3"/>
        <v>-1.8139347274887103E-2</v>
      </c>
      <c r="P118" s="86">
        <v>88</v>
      </c>
      <c r="Q118" s="86">
        <v>-1.1161847737789924E-3</v>
      </c>
      <c r="R118" s="86">
        <v>3.062704850204722E-2</v>
      </c>
    </row>
    <row r="119" spans="2:18">
      <c r="B119" s="140">
        <v>44729</v>
      </c>
      <c r="C119" s="141">
        <v>15293.5</v>
      </c>
      <c r="D119" s="142">
        <f t="shared" si="2"/>
        <v>-4.3682936023334753E-3</v>
      </c>
      <c r="E119" s="50"/>
      <c r="I119" s="129">
        <v>44729</v>
      </c>
      <c r="J119" s="130">
        <v>1057.470581</v>
      </c>
      <c r="K119" s="131">
        <f t="shared" si="3"/>
        <v>-2.1721162324210265E-2</v>
      </c>
      <c r="P119" s="86">
        <v>89</v>
      </c>
      <c r="Q119" s="86">
        <v>3.0372368165883859E-3</v>
      </c>
      <c r="R119" s="86">
        <v>-2.1868623294001247E-3</v>
      </c>
    </row>
    <row r="120" spans="2:18">
      <c r="B120" s="140">
        <v>44732</v>
      </c>
      <c r="C120" s="141">
        <v>15350.150390999999</v>
      </c>
      <c r="D120" s="142">
        <f t="shared" si="2"/>
        <v>3.7042136201653787E-3</v>
      </c>
      <c r="E120" s="50"/>
      <c r="I120" s="129">
        <v>44732</v>
      </c>
      <c r="J120" s="130">
        <v>1059.003052</v>
      </c>
      <c r="K120" s="131">
        <f t="shared" si="3"/>
        <v>1.4491854691132885E-3</v>
      </c>
      <c r="P120" s="86">
        <v>90</v>
      </c>
      <c r="Q120" s="86">
        <v>2.0203718497557782E-2</v>
      </c>
      <c r="R120" s="86">
        <v>-6.7328788068997478E-3</v>
      </c>
    </row>
    <row r="121" spans="2:18">
      <c r="B121" s="140">
        <v>44733</v>
      </c>
      <c r="C121" s="141">
        <v>15638.799805000001</v>
      </c>
      <c r="D121" s="142">
        <f t="shared" si="2"/>
        <v>1.8804337849956207E-2</v>
      </c>
      <c r="E121" s="50"/>
      <c r="I121" s="129">
        <v>44733</v>
      </c>
      <c r="J121" s="130">
        <v>1093.357178</v>
      </c>
      <c r="K121" s="131">
        <f t="shared" si="3"/>
        <v>3.2440063260554181E-2</v>
      </c>
      <c r="P121" s="86">
        <v>91</v>
      </c>
      <c r="Q121" s="86">
        <v>-7.6031269309261528E-4</v>
      </c>
      <c r="R121" s="86">
        <v>-7.3425628137383514E-3</v>
      </c>
    </row>
    <row r="122" spans="2:18">
      <c r="B122" s="140">
        <v>44734</v>
      </c>
      <c r="C122" s="141">
        <v>15413.299805000001</v>
      </c>
      <c r="D122" s="142">
        <f t="shared" si="2"/>
        <v>-1.441926508502933E-2</v>
      </c>
      <c r="E122" s="50"/>
      <c r="I122" s="129">
        <v>44734</v>
      </c>
      <c r="J122" s="130">
        <v>1088.710693</v>
      </c>
      <c r="K122" s="131">
        <f t="shared" si="3"/>
        <v>-4.2497411582365667E-3</v>
      </c>
      <c r="P122" s="86">
        <v>92</v>
      </c>
      <c r="Q122" s="86">
        <v>-2.0102818340853364E-2</v>
      </c>
      <c r="R122" s="86">
        <v>-1.9896106069664486E-3</v>
      </c>
    </row>
    <row r="123" spans="2:18">
      <c r="B123" s="140">
        <v>44735</v>
      </c>
      <c r="C123" s="141">
        <v>15556.650390999999</v>
      </c>
      <c r="D123" s="142">
        <f t="shared" si="2"/>
        <v>9.3004475234755649E-3</v>
      </c>
      <c r="E123" s="50"/>
      <c r="I123" s="129">
        <v>44735</v>
      </c>
      <c r="J123" s="130">
        <v>1084.163086</v>
      </c>
      <c r="K123" s="131">
        <f t="shared" si="3"/>
        <v>-4.1770573479615585E-3</v>
      </c>
      <c r="P123" s="86">
        <v>93</v>
      </c>
      <c r="Q123" s="86">
        <v>2.2162895568202095E-2</v>
      </c>
      <c r="R123" s="86">
        <v>-1.0394009831666559E-2</v>
      </c>
    </row>
    <row r="124" spans="2:18">
      <c r="B124" s="140">
        <v>44736</v>
      </c>
      <c r="C124" s="141">
        <v>15699.25</v>
      </c>
      <c r="D124" s="142">
        <f t="shared" si="2"/>
        <v>9.1664725642030907E-3</v>
      </c>
      <c r="E124" s="50"/>
      <c r="I124" s="129">
        <v>44736</v>
      </c>
      <c r="J124" s="130">
        <v>1094.246948</v>
      </c>
      <c r="K124" s="131">
        <f t="shared" si="3"/>
        <v>9.301056391067675E-3</v>
      </c>
      <c r="P124" s="86">
        <v>94</v>
      </c>
      <c r="Q124" s="86">
        <v>-2.2812719497676509E-3</v>
      </c>
      <c r="R124" s="86">
        <v>1.5377788564492036E-2</v>
      </c>
    </row>
    <row r="125" spans="2:18">
      <c r="B125" s="140">
        <v>44739</v>
      </c>
      <c r="C125" s="141">
        <v>15832.049805000001</v>
      </c>
      <c r="D125" s="142">
        <f t="shared" si="2"/>
        <v>8.4589903976304958E-3</v>
      </c>
      <c r="E125" s="50"/>
      <c r="I125" s="129">
        <v>44739</v>
      </c>
      <c r="J125" s="130">
        <v>1089.8476559999999</v>
      </c>
      <c r="K125" s="131">
        <f t="shared" si="3"/>
        <v>-4.0203831576051691E-3</v>
      </c>
      <c r="P125" s="86">
        <v>95</v>
      </c>
      <c r="Q125" s="86">
        <v>-4.0807844349655172E-3</v>
      </c>
      <c r="R125" s="86">
        <v>-1.8200427830748558E-2</v>
      </c>
    </row>
    <row r="126" spans="2:18">
      <c r="B126" s="140">
        <v>44740</v>
      </c>
      <c r="C126" s="141">
        <v>15850.200194999999</v>
      </c>
      <c r="D126" s="142">
        <f t="shared" si="2"/>
        <v>1.1464333566122758E-3</v>
      </c>
      <c r="E126" s="50"/>
      <c r="I126" s="129">
        <v>44740</v>
      </c>
      <c r="J126" s="130">
        <v>1093.950439</v>
      </c>
      <c r="K126" s="131">
        <f t="shared" si="3"/>
        <v>3.7645472533823989E-3</v>
      </c>
      <c r="P126" s="86">
        <v>96</v>
      </c>
      <c r="Q126" s="86">
        <v>-4.5676726483814484E-3</v>
      </c>
      <c r="R126" s="86">
        <v>1.4217109028994073E-2</v>
      </c>
    </row>
    <row r="127" spans="2:18">
      <c r="B127" s="140">
        <v>44741</v>
      </c>
      <c r="C127" s="141">
        <v>15799.099609000001</v>
      </c>
      <c r="D127" s="142">
        <f t="shared" si="2"/>
        <v>-3.2239710143294287E-3</v>
      </c>
      <c r="E127" s="50"/>
      <c r="I127" s="129">
        <v>44741</v>
      </c>
      <c r="J127" s="130">
        <v>1086.0908199999999</v>
      </c>
      <c r="K127" s="131">
        <f t="shared" si="3"/>
        <v>-7.1846207285082191E-3</v>
      </c>
      <c r="P127" s="86">
        <v>97</v>
      </c>
      <c r="Q127" s="86">
        <v>6.9997838989139119E-3</v>
      </c>
      <c r="R127" s="86">
        <v>-5.3117942193422016E-2</v>
      </c>
    </row>
    <row r="128" spans="2:18">
      <c r="B128" s="140">
        <v>44742</v>
      </c>
      <c r="C128" s="141">
        <v>15780.25</v>
      </c>
      <c r="D128" s="142">
        <f t="shared" si="2"/>
        <v>-1.1930812176956622E-3</v>
      </c>
      <c r="E128" s="50"/>
      <c r="I128" s="129">
        <v>44742</v>
      </c>
      <c r="J128" s="130">
        <v>1085.6954350000001</v>
      </c>
      <c r="K128" s="131">
        <f t="shared" si="3"/>
        <v>-3.6404414135440865E-4</v>
      </c>
      <c r="P128" s="86">
        <v>98</v>
      </c>
      <c r="Q128" s="86">
        <v>8.7281678226865476E-3</v>
      </c>
      <c r="R128" s="86">
        <v>-1.3950979050057176E-3</v>
      </c>
    </row>
    <row r="129" spans="2:18">
      <c r="B129" s="140">
        <v>44743</v>
      </c>
      <c r="C129" s="141">
        <v>15752.049805000001</v>
      </c>
      <c r="D129" s="142">
        <f t="shared" si="2"/>
        <v>-1.7870562887152891E-3</v>
      </c>
      <c r="E129" s="50"/>
      <c r="I129" s="129">
        <v>44743</v>
      </c>
      <c r="J129" s="130">
        <v>1098.5969239999999</v>
      </c>
      <c r="K129" s="131">
        <f t="shared" si="3"/>
        <v>1.1883156716045191E-2</v>
      </c>
      <c r="P129" s="86">
        <v>99</v>
      </c>
      <c r="Q129" s="86">
        <v>1.4538628544974114E-2</v>
      </c>
      <c r="R129" s="86">
        <v>1.6146658478777338E-2</v>
      </c>
    </row>
    <row r="130" spans="2:18">
      <c r="B130" s="140">
        <v>44746</v>
      </c>
      <c r="C130" s="141">
        <v>15835.349609000001</v>
      </c>
      <c r="D130" s="142">
        <f t="shared" si="2"/>
        <v>5.2881882060555243E-3</v>
      </c>
      <c r="E130" s="50"/>
      <c r="I130" s="129">
        <v>44746</v>
      </c>
      <c r="J130" s="130">
        <v>1120.1979980000001</v>
      </c>
      <c r="K130" s="131">
        <f t="shared" si="3"/>
        <v>1.9662419881306854E-2</v>
      </c>
      <c r="P130" s="86">
        <v>100</v>
      </c>
      <c r="Q130" s="86">
        <v>-3.3865816160977991E-3</v>
      </c>
      <c r="R130" s="86">
        <v>-9.5896863809027365E-3</v>
      </c>
    </row>
    <row r="131" spans="2:18">
      <c r="B131" s="140">
        <v>44747</v>
      </c>
      <c r="C131" s="141">
        <v>15810.849609000001</v>
      </c>
      <c r="D131" s="142">
        <f t="shared" si="2"/>
        <v>-1.5471713984814997E-3</v>
      </c>
      <c r="E131" s="50"/>
      <c r="I131" s="129">
        <v>44747</v>
      </c>
      <c r="J131" s="130">
        <v>1143.924683</v>
      </c>
      <c r="K131" s="131">
        <f t="shared" si="3"/>
        <v>2.118079575428759E-2</v>
      </c>
      <c r="P131" s="86">
        <v>101</v>
      </c>
      <c r="Q131" s="86">
        <v>-2.7109043460856806E-3</v>
      </c>
      <c r="R131" s="86">
        <v>-6.1506841217920591E-3</v>
      </c>
    </row>
    <row r="132" spans="2:18">
      <c r="B132" s="140">
        <v>44748</v>
      </c>
      <c r="C132" s="141">
        <v>15989.799805000001</v>
      </c>
      <c r="D132" s="142">
        <f t="shared" si="2"/>
        <v>1.131818975105146E-2</v>
      </c>
      <c r="E132" s="50"/>
      <c r="I132" s="129">
        <v>44748</v>
      </c>
      <c r="J132" s="130">
        <v>1183.568115</v>
      </c>
      <c r="K132" s="131">
        <f t="shared" si="3"/>
        <v>3.4655631257149891E-2</v>
      </c>
      <c r="P132" s="86">
        <v>102</v>
      </c>
      <c r="Q132" s="86">
        <v>4.9885374818787161E-3</v>
      </c>
      <c r="R132" s="86">
        <v>-2.17372586174172E-2</v>
      </c>
    </row>
    <row r="133" spans="2:18">
      <c r="B133" s="140">
        <v>44749</v>
      </c>
      <c r="C133" s="141">
        <v>16132.900390999999</v>
      </c>
      <c r="D133" s="142">
        <f t="shared" si="2"/>
        <v>8.9494920352443177E-3</v>
      </c>
      <c r="E133" s="50"/>
      <c r="I133" s="129">
        <v>44749</v>
      </c>
      <c r="J133" s="130">
        <v>1208.135254</v>
      </c>
      <c r="K133" s="131">
        <f t="shared" si="3"/>
        <v>2.0756844231140846E-2</v>
      </c>
      <c r="P133" s="86">
        <v>103</v>
      </c>
      <c r="Q133" s="86">
        <v>-1.8733065888464273E-3</v>
      </c>
      <c r="R133" s="86">
        <v>-1.097678836189887E-2</v>
      </c>
    </row>
    <row r="134" spans="2:18">
      <c r="B134" s="140">
        <v>44750</v>
      </c>
      <c r="C134" s="141">
        <v>16220.599609000001</v>
      </c>
      <c r="D134" s="142">
        <f t="shared" si="2"/>
        <v>5.4360478199522019E-3</v>
      </c>
      <c r="E134" s="50"/>
      <c r="I134" s="129">
        <v>44750</v>
      </c>
      <c r="J134" s="130">
        <v>1204.724487</v>
      </c>
      <c r="K134" s="131">
        <f t="shared" si="3"/>
        <v>-2.8231665194003832E-3</v>
      </c>
      <c r="P134" s="86">
        <v>104</v>
      </c>
      <c r="Q134" s="86">
        <v>-5.474224607950886E-4</v>
      </c>
      <c r="R134" s="86">
        <v>-5.5070958705432556E-3</v>
      </c>
    </row>
    <row r="135" spans="2:18">
      <c r="B135" s="140">
        <v>44753</v>
      </c>
      <c r="C135" s="141">
        <v>16216</v>
      </c>
      <c r="D135" s="142">
        <f t="shared" si="2"/>
        <v>-2.8356590452110596E-4</v>
      </c>
      <c r="E135" s="50"/>
      <c r="I135" s="129">
        <v>44753</v>
      </c>
      <c r="J135" s="130">
        <v>1210.359741</v>
      </c>
      <c r="K135" s="131">
        <f t="shared" si="3"/>
        <v>4.6776288361440373E-3</v>
      </c>
      <c r="P135" s="86">
        <v>105</v>
      </c>
      <c r="Q135" s="86">
        <v>-6.9200603575156408E-3</v>
      </c>
      <c r="R135" s="86">
        <v>-7.2643943450162712E-3</v>
      </c>
    </row>
    <row r="136" spans="2:18">
      <c r="B136" s="140">
        <v>44754</v>
      </c>
      <c r="C136" s="141">
        <v>16058.299805000001</v>
      </c>
      <c r="D136" s="142">
        <f t="shared" ref="D136:D199" si="4">(C136-C135)/C135</f>
        <v>-9.7249750246669615E-3</v>
      </c>
      <c r="E136" s="50"/>
      <c r="I136" s="129">
        <v>44754</v>
      </c>
      <c r="J136" s="130">
        <v>1206.9982910000001</v>
      </c>
      <c r="K136" s="131">
        <f t="shared" ref="K136:K199" si="5">(J136-J135)/J135</f>
        <v>-2.7772321617560124E-3</v>
      </c>
      <c r="P136" s="86">
        <v>106</v>
      </c>
      <c r="Q136" s="86">
        <v>-2.6609956813974829E-3</v>
      </c>
      <c r="R136" s="86">
        <v>-1.8303890951584235E-2</v>
      </c>
    </row>
    <row r="137" spans="2:18">
      <c r="B137" s="140">
        <v>44755</v>
      </c>
      <c r="C137" s="141">
        <v>15966.650390999999</v>
      </c>
      <c r="D137" s="142">
        <f t="shared" si="4"/>
        <v>-5.7072924975198726E-3</v>
      </c>
      <c r="E137" s="50"/>
      <c r="I137" s="129">
        <v>44755</v>
      </c>
      <c r="J137" s="130">
        <v>1214.561279</v>
      </c>
      <c r="K137" s="131">
        <f t="shared" si="5"/>
        <v>6.265947562969585E-3</v>
      </c>
      <c r="P137" s="86">
        <v>107</v>
      </c>
      <c r="Q137" s="86">
        <v>5.8119252929564992E-3</v>
      </c>
      <c r="R137" s="86">
        <v>1.4880626493500759E-2</v>
      </c>
    </row>
    <row r="138" spans="2:18">
      <c r="B138" s="140">
        <v>44756</v>
      </c>
      <c r="C138" s="141">
        <v>15938.650390999999</v>
      </c>
      <c r="D138" s="142">
        <f t="shared" si="4"/>
        <v>-1.7536552322698128E-3</v>
      </c>
      <c r="E138" s="50"/>
      <c r="I138" s="129">
        <v>44756</v>
      </c>
      <c r="J138" s="130">
        <v>1227.610962</v>
      </c>
      <c r="K138" s="131">
        <f t="shared" si="5"/>
        <v>1.0744359486533539E-2</v>
      </c>
      <c r="P138" s="86">
        <v>108</v>
      </c>
      <c r="Q138" s="86">
        <v>-1.2656087823556889E-2</v>
      </c>
      <c r="R138" s="86">
        <v>5.0592659247467925E-3</v>
      </c>
    </row>
    <row r="139" spans="2:18">
      <c r="B139" s="140">
        <v>44757</v>
      </c>
      <c r="C139" s="141">
        <v>16049.200194999999</v>
      </c>
      <c r="D139" s="142">
        <f t="shared" si="4"/>
        <v>6.9359576430902733E-3</v>
      </c>
      <c r="E139" s="50"/>
      <c r="I139" s="129">
        <v>44757</v>
      </c>
      <c r="J139" s="130">
        <v>1241.3032229999999</v>
      </c>
      <c r="K139" s="131">
        <f t="shared" si="5"/>
        <v>1.1153583198452994E-2</v>
      </c>
      <c r="P139" s="86">
        <v>109</v>
      </c>
      <c r="Q139" s="86">
        <v>-1.9986159914482316E-2</v>
      </c>
      <c r="R139" s="86">
        <v>-7.5182034229599702E-3</v>
      </c>
    </row>
    <row r="140" spans="2:18">
      <c r="B140" s="140">
        <v>44760</v>
      </c>
      <c r="C140" s="141">
        <v>16278.5</v>
      </c>
      <c r="D140" s="142">
        <f t="shared" si="4"/>
        <v>1.4287304178026086E-2</v>
      </c>
      <c r="E140" s="50"/>
      <c r="I140" s="129">
        <v>44760</v>
      </c>
      <c r="J140" s="130">
        <v>1247.9270019999999</v>
      </c>
      <c r="K140" s="131">
        <f t="shared" si="5"/>
        <v>5.33614903858186E-3</v>
      </c>
      <c r="P140" s="86">
        <v>110</v>
      </c>
      <c r="Q140" s="86">
        <v>-1.9141504675657607E-3</v>
      </c>
      <c r="R140" s="86">
        <v>3.3576178677366751E-2</v>
      </c>
    </row>
    <row r="141" spans="2:18">
      <c r="B141" s="140">
        <v>44761</v>
      </c>
      <c r="C141" s="141">
        <v>16340.549805000001</v>
      </c>
      <c r="D141" s="142">
        <f t="shared" si="4"/>
        <v>3.8117642903216244E-3</v>
      </c>
      <c r="E141" s="50"/>
      <c r="I141" s="129">
        <v>44761</v>
      </c>
      <c r="J141" s="130">
        <v>1244.3679199999999</v>
      </c>
      <c r="K141" s="131">
        <f t="shared" si="5"/>
        <v>-2.8519953445161447E-3</v>
      </c>
      <c r="P141" s="86">
        <v>111</v>
      </c>
      <c r="Q141" s="86">
        <v>-1.8056602006584674E-3</v>
      </c>
      <c r="R141" s="86">
        <v>-6.1232200067603704E-3</v>
      </c>
    </row>
    <row r="142" spans="2:18">
      <c r="B142" s="140">
        <v>44762</v>
      </c>
      <c r="C142" s="141">
        <v>16520.849609000001</v>
      </c>
      <c r="D142" s="142">
        <f t="shared" si="4"/>
        <v>1.1033888464684999E-2</v>
      </c>
      <c r="E142" s="50"/>
      <c r="I142" s="129">
        <v>44762</v>
      </c>
      <c r="J142" s="130">
        <v>1209.321533</v>
      </c>
      <c r="K142" s="131">
        <f t="shared" si="5"/>
        <v>-2.8164007153125475E-2</v>
      </c>
      <c r="P142" s="86">
        <v>112</v>
      </c>
      <c r="Q142" s="86">
        <v>-1.5981560117421974E-2</v>
      </c>
      <c r="R142" s="86">
        <v>-2.157787157465129E-3</v>
      </c>
    </row>
    <row r="143" spans="2:18">
      <c r="B143" s="140">
        <v>44763</v>
      </c>
      <c r="C143" s="141">
        <v>16605.25</v>
      </c>
      <c r="D143" s="142">
        <f t="shared" si="4"/>
        <v>5.1087197691104657E-3</v>
      </c>
      <c r="E143" s="50"/>
      <c r="I143" s="129">
        <v>44763</v>
      </c>
      <c r="J143" s="130">
        <v>1242.6873780000001</v>
      </c>
      <c r="K143" s="131">
        <f t="shared" si="5"/>
        <v>2.7590548989257131E-2</v>
      </c>
      <c r="P143" s="86">
        <v>113</v>
      </c>
      <c r="Q143" s="86">
        <v>-3.2004021089896539E-3</v>
      </c>
      <c r="R143" s="86">
        <v>-1.8520760215220609E-2</v>
      </c>
    </row>
    <row r="144" spans="2:18">
      <c r="B144" s="140">
        <v>44764</v>
      </c>
      <c r="C144" s="141">
        <v>16719.449218999998</v>
      </c>
      <c r="D144" s="142">
        <f t="shared" si="4"/>
        <v>6.8772959756702411E-3</v>
      </c>
      <c r="E144" s="50"/>
      <c r="I144" s="129">
        <v>44764</v>
      </c>
      <c r="J144" s="130">
        <v>1212.4852289999999</v>
      </c>
      <c r="K144" s="131">
        <f t="shared" si="5"/>
        <v>-2.4303899383453936E-2</v>
      </c>
      <c r="P144" s="86">
        <v>114</v>
      </c>
      <c r="Q144" s="86">
        <v>2.9556265583364381E-3</v>
      </c>
      <c r="R144" s="86">
        <v>-1.5064410892231496E-3</v>
      </c>
    </row>
    <row r="145" spans="2:18">
      <c r="B145" s="140">
        <v>44767</v>
      </c>
      <c r="C145" s="141">
        <v>16631</v>
      </c>
      <c r="D145" s="142">
        <f t="shared" si="4"/>
        <v>-5.2901993266311958E-3</v>
      </c>
      <c r="E145" s="50"/>
      <c r="I145" s="129">
        <v>44767</v>
      </c>
      <c r="J145" s="130">
        <v>1212.3370359999999</v>
      </c>
      <c r="K145" s="131">
        <f t="shared" si="5"/>
        <v>-1.2222251987532628E-4</v>
      </c>
      <c r="P145" s="86">
        <v>115</v>
      </c>
      <c r="Q145" s="86">
        <v>1.4470859072430465E-2</v>
      </c>
      <c r="R145" s="86">
        <v>1.7969204188123714E-2</v>
      </c>
    </row>
    <row r="146" spans="2:18">
      <c r="B146" s="140">
        <v>44768</v>
      </c>
      <c r="C146" s="141">
        <v>16483.849609000001</v>
      </c>
      <c r="D146" s="142">
        <f t="shared" si="4"/>
        <v>-8.8479580903132234E-3</v>
      </c>
      <c r="E146" s="50"/>
      <c r="I146" s="129">
        <v>44768</v>
      </c>
      <c r="J146" s="130">
        <v>1196.766357</v>
      </c>
      <c r="K146" s="131">
        <f t="shared" si="5"/>
        <v>-1.2843523325307311E-2</v>
      </c>
      <c r="P146" s="86">
        <v>116</v>
      </c>
      <c r="Q146" s="86">
        <v>-1.0865191607040981E-2</v>
      </c>
      <c r="R146" s="86">
        <v>6.6154504488044148E-3</v>
      </c>
    </row>
    <row r="147" spans="2:18">
      <c r="B147" s="140">
        <v>44769</v>
      </c>
      <c r="C147" s="141">
        <v>16641.800781000002</v>
      </c>
      <c r="D147" s="142">
        <f t="shared" si="4"/>
        <v>9.5821774492386384E-3</v>
      </c>
      <c r="E147" s="50"/>
      <c r="I147" s="129">
        <v>44769</v>
      </c>
      <c r="J147" s="130">
        <v>1207.097168</v>
      </c>
      <c r="K147" s="131">
        <f t="shared" si="5"/>
        <v>8.6322705677462815E-3</v>
      </c>
      <c r="P147" s="86">
        <v>117</v>
      </c>
      <c r="Q147" s="86">
        <v>7.2232692359202539E-3</v>
      </c>
      <c r="R147" s="86">
        <v>-1.1400326583881813E-2</v>
      </c>
    </row>
    <row r="148" spans="2:18">
      <c r="B148" s="140">
        <v>44770</v>
      </c>
      <c r="C148" s="141">
        <v>16929.599609000001</v>
      </c>
      <c r="D148" s="142">
        <f t="shared" si="4"/>
        <v>1.7293731116441433E-2</v>
      </c>
      <c r="E148" s="50"/>
      <c r="I148" s="129">
        <v>44770</v>
      </c>
      <c r="J148" s="130">
        <v>1211.2989500000001</v>
      </c>
      <c r="K148" s="131">
        <f t="shared" si="5"/>
        <v>3.4808979023303399E-3</v>
      </c>
      <c r="P148" s="86">
        <v>118</v>
      </c>
      <c r="Q148" s="86">
        <v>7.1211010164002357E-3</v>
      </c>
      <c r="R148" s="86">
        <v>2.1799553746674393E-3</v>
      </c>
    </row>
    <row r="149" spans="2:18">
      <c r="B149" s="140">
        <v>44771</v>
      </c>
      <c r="C149" s="141">
        <v>17158.25</v>
      </c>
      <c r="D149" s="142">
        <f t="shared" si="4"/>
        <v>1.3505953848928927E-2</v>
      </c>
      <c r="E149" s="50"/>
      <c r="I149" s="129">
        <v>44771</v>
      </c>
      <c r="J149" s="130">
        <v>1235.1245120000001</v>
      </c>
      <c r="K149" s="131">
        <f t="shared" si="5"/>
        <v>1.9669431728641381E-2</v>
      </c>
      <c r="P149" s="86">
        <v>119</v>
      </c>
      <c r="Q149" s="86">
        <v>6.5815808426796995E-3</v>
      </c>
      <c r="R149" s="86">
        <v>-1.0601964000284868E-2</v>
      </c>
    </row>
    <row r="150" spans="2:18">
      <c r="B150" s="140">
        <v>44774</v>
      </c>
      <c r="C150" s="141">
        <v>17340.050781000002</v>
      </c>
      <c r="D150" s="142">
        <f t="shared" si="4"/>
        <v>1.0595531653869231E-2</v>
      </c>
      <c r="E150" s="50"/>
      <c r="I150" s="129">
        <v>44774</v>
      </c>
      <c r="J150" s="130">
        <v>1273.2354740000001</v>
      </c>
      <c r="K150" s="131">
        <f t="shared" si="5"/>
        <v>3.0855967661339693E-2</v>
      </c>
      <c r="P150" s="86">
        <v>120</v>
      </c>
      <c r="Q150" s="86">
        <v>1.0050840325559946E-3</v>
      </c>
      <c r="R150" s="86">
        <v>2.7594632208264042E-3</v>
      </c>
    </row>
    <row r="151" spans="2:18">
      <c r="B151" s="140">
        <v>44775</v>
      </c>
      <c r="C151" s="141">
        <v>17345.449218999998</v>
      </c>
      <c r="D151" s="142">
        <f t="shared" si="4"/>
        <v>3.1132769264503868E-4</v>
      </c>
      <c r="E151" s="50"/>
      <c r="I151" s="129">
        <v>44775</v>
      </c>
      <c r="J151" s="130">
        <v>1275.5092770000001</v>
      </c>
      <c r="K151" s="131">
        <f t="shared" si="5"/>
        <v>1.7858464097427775E-3</v>
      </c>
      <c r="P151" s="86">
        <v>121</v>
      </c>
      <c r="Q151" s="86">
        <v>-2.3277509657626716E-3</v>
      </c>
      <c r="R151" s="86">
        <v>-4.856869762745547E-3</v>
      </c>
    </row>
    <row r="152" spans="2:18">
      <c r="B152" s="140">
        <v>44776</v>
      </c>
      <c r="C152" s="141">
        <v>17388.150390999999</v>
      </c>
      <c r="D152" s="142">
        <f t="shared" si="4"/>
        <v>2.4618083660368161E-3</v>
      </c>
      <c r="E152" s="50"/>
      <c r="I152" s="129">
        <v>44776</v>
      </c>
      <c r="J152" s="130">
        <v>1264.881592</v>
      </c>
      <c r="K152" s="131">
        <f t="shared" si="5"/>
        <v>-8.3321110960450934E-3</v>
      </c>
      <c r="P152" s="86">
        <v>122</v>
      </c>
      <c r="Q152" s="86">
        <v>-7.7901084529394694E-4</v>
      </c>
      <c r="R152" s="86">
        <v>4.1496670393953829E-4</v>
      </c>
    </row>
    <row r="153" spans="2:18">
      <c r="B153" s="140">
        <v>44777</v>
      </c>
      <c r="C153" s="141">
        <v>17382</v>
      </c>
      <c r="D153" s="142">
        <f t="shared" si="4"/>
        <v>-3.5371162899434217E-4</v>
      </c>
      <c r="E153" s="50"/>
      <c r="I153" s="129">
        <v>44777</v>
      </c>
      <c r="J153" s="130">
        <v>1294.985107</v>
      </c>
      <c r="K153" s="131">
        <f t="shared" si="5"/>
        <v>2.3799472765194622E-2</v>
      </c>
      <c r="P153" s="86">
        <v>123</v>
      </c>
      <c r="Q153" s="86">
        <v>-1.2319714266958168E-3</v>
      </c>
      <c r="R153" s="86">
        <v>1.3115128142741007E-2</v>
      </c>
    </row>
    <row r="154" spans="2:18">
      <c r="B154" s="140">
        <v>44778</v>
      </c>
      <c r="C154" s="141">
        <v>17397.5</v>
      </c>
      <c r="D154" s="142">
        <f t="shared" si="4"/>
        <v>8.9172707398458174E-4</v>
      </c>
      <c r="E154" s="50"/>
      <c r="I154" s="129">
        <v>44778</v>
      </c>
      <c r="J154" s="130">
        <v>1274.718384</v>
      </c>
      <c r="K154" s="131">
        <f t="shared" si="5"/>
        <v>-1.5650159133451684E-2</v>
      </c>
      <c r="P154" s="86">
        <v>124</v>
      </c>
      <c r="Q154" s="86">
        <v>4.1635527565166966E-3</v>
      </c>
      <c r="R154" s="86">
        <v>1.5498867124790157E-2</v>
      </c>
    </row>
    <row r="155" spans="2:18">
      <c r="B155" s="140">
        <v>44781</v>
      </c>
      <c r="C155" s="141">
        <v>17525.099609000001</v>
      </c>
      <c r="D155" s="142">
        <f t="shared" si="4"/>
        <v>7.334364650093449E-3</v>
      </c>
      <c r="E155" s="50"/>
      <c r="I155" s="129">
        <v>44781</v>
      </c>
      <c r="J155" s="130">
        <v>1290.0914310000001</v>
      </c>
      <c r="K155" s="131">
        <f t="shared" si="5"/>
        <v>1.2059955510926437E-2</v>
      </c>
      <c r="P155" s="86">
        <v>125</v>
      </c>
      <c r="Q155" s="86">
        <v>-1.0490371510816967E-3</v>
      </c>
      <c r="R155" s="86">
        <v>2.2229832905369284E-2</v>
      </c>
    </row>
    <row r="156" spans="2:18">
      <c r="B156" s="140">
        <v>44783</v>
      </c>
      <c r="C156" s="141">
        <v>17534.75</v>
      </c>
      <c r="D156" s="142">
        <f t="shared" si="4"/>
        <v>5.5066112120944909E-4</v>
      </c>
      <c r="E156" s="50"/>
      <c r="I156" s="129">
        <v>44783</v>
      </c>
      <c r="J156" s="130">
        <v>1294.0952150000001</v>
      </c>
      <c r="K156" s="131">
        <f t="shared" si="5"/>
        <v>3.103488561966889E-3</v>
      </c>
      <c r="P156" s="86">
        <v>126</v>
      </c>
      <c r="Q156" s="86">
        <v>8.7619831266446038E-3</v>
      </c>
      <c r="R156" s="86">
        <v>2.5893648130505285E-2</v>
      </c>
    </row>
    <row r="157" spans="2:18">
      <c r="B157" s="140">
        <v>44784</v>
      </c>
      <c r="C157" s="141">
        <v>17659</v>
      </c>
      <c r="D157" s="142">
        <f t="shared" si="4"/>
        <v>7.0859293688247619E-3</v>
      </c>
      <c r="E157" s="50"/>
      <c r="I157" s="129">
        <v>44784</v>
      </c>
      <c r="J157" s="130">
        <v>1293.3043210000001</v>
      </c>
      <c r="K157" s="131">
        <f t="shared" si="5"/>
        <v>-6.1115595733037323E-4</v>
      </c>
      <c r="P157" s="86">
        <v>127</v>
      </c>
      <c r="Q157" s="86">
        <v>6.9556334213017818E-3</v>
      </c>
      <c r="R157" s="86">
        <v>1.3801210809839065E-2</v>
      </c>
    </row>
    <row r="158" spans="2:18">
      <c r="B158" s="140">
        <v>44785</v>
      </c>
      <c r="C158" s="141">
        <v>17698.150390999999</v>
      </c>
      <c r="D158" s="142">
        <f t="shared" si="4"/>
        <v>2.2170219717990384E-3</v>
      </c>
      <c r="E158" s="50"/>
      <c r="I158" s="129">
        <v>44785</v>
      </c>
      <c r="J158" s="130">
        <v>1282.3801269999999</v>
      </c>
      <c r="K158" s="131">
        <f t="shared" si="5"/>
        <v>-8.4467312314811093E-3</v>
      </c>
      <c r="P158" s="86">
        <v>128</v>
      </c>
      <c r="Q158" s="86">
        <v>4.2763093012678517E-3</v>
      </c>
      <c r="R158" s="86">
        <v>-7.0994758206682348E-3</v>
      </c>
    </row>
    <row r="159" spans="2:18">
      <c r="B159" s="140">
        <v>44789</v>
      </c>
      <c r="C159" s="141">
        <v>17825.25</v>
      </c>
      <c r="D159" s="142">
        <f t="shared" si="4"/>
        <v>7.1815193221905528E-3</v>
      </c>
      <c r="E159" s="50"/>
      <c r="I159" s="129">
        <v>44789</v>
      </c>
      <c r="J159" s="130">
        <v>1286.5323490000001</v>
      </c>
      <c r="K159" s="131">
        <f t="shared" si="5"/>
        <v>3.2379026410163368E-3</v>
      </c>
      <c r="P159" s="86">
        <v>129</v>
      </c>
      <c r="Q159" s="86">
        <v>-8.5421829273041045E-5</v>
      </c>
      <c r="R159" s="86">
        <v>4.7630506654170787E-3</v>
      </c>
    </row>
    <row r="160" spans="2:18">
      <c r="B160" s="140">
        <v>44790</v>
      </c>
      <c r="C160" s="141">
        <v>17944.25</v>
      </c>
      <c r="D160" s="142">
        <f t="shared" si="4"/>
        <v>6.675923198833116E-3</v>
      </c>
      <c r="E160" s="50"/>
      <c r="I160" s="129">
        <v>44790</v>
      </c>
      <c r="J160" s="130">
        <v>1333.1455080000001</v>
      </c>
      <c r="K160" s="131">
        <f t="shared" si="5"/>
        <v>3.6231626073166073E-2</v>
      </c>
      <c r="P160" s="86">
        <v>130</v>
      </c>
      <c r="Q160" s="86">
        <v>-7.2853640035682159E-3</v>
      </c>
      <c r="R160" s="86">
        <v>4.5081318418122036E-3</v>
      </c>
    </row>
    <row r="161" spans="2:18">
      <c r="B161" s="140">
        <v>44791</v>
      </c>
      <c r="C161" s="141">
        <v>17956.5</v>
      </c>
      <c r="D161" s="142">
        <f t="shared" si="4"/>
        <v>6.8266993605193866E-4</v>
      </c>
      <c r="E161" s="50"/>
      <c r="I161" s="129">
        <v>44791</v>
      </c>
      <c r="J161" s="130">
        <v>1342.5373540000001</v>
      </c>
      <c r="K161" s="131">
        <f t="shared" si="5"/>
        <v>7.044876904764687E-3</v>
      </c>
      <c r="P161" s="86">
        <v>131</v>
      </c>
      <c r="Q161" s="86">
        <v>-4.2215118283233976E-3</v>
      </c>
      <c r="R161" s="86">
        <v>1.0487459391292982E-2</v>
      </c>
    </row>
    <row r="162" spans="2:18">
      <c r="B162" s="140">
        <v>44792</v>
      </c>
      <c r="C162" s="141">
        <v>17758.449218999998</v>
      </c>
      <c r="D162" s="142">
        <f t="shared" si="4"/>
        <v>-1.1029475733021566E-2</v>
      </c>
      <c r="E162" s="50"/>
      <c r="I162" s="129">
        <v>44792</v>
      </c>
      <c r="J162" s="130">
        <v>1334.6282960000001</v>
      </c>
      <c r="K162" s="131">
        <f t="shared" si="5"/>
        <v>-5.8911269592875392E-3</v>
      </c>
      <c r="P162" s="86">
        <v>132</v>
      </c>
      <c r="Q162" s="86">
        <v>-1.2065000514055908E-3</v>
      </c>
      <c r="R162" s="86">
        <v>1.195085953793913E-2</v>
      </c>
    </row>
    <row r="163" spans="2:18">
      <c r="B163" s="140">
        <v>44795</v>
      </c>
      <c r="C163" s="141">
        <v>17490.699218999998</v>
      </c>
      <c r="D163" s="142">
        <f t="shared" si="4"/>
        <v>-1.5077330047126568E-2</v>
      </c>
      <c r="E163" s="50"/>
      <c r="I163" s="129">
        <v>44795</v>
      </c>
      <c r="J163" s="130">
        <v>1272.494019</v>
      </c>
      <c r="K163" s="131">
        <f t="shared" si="5"/>
        <v>-4.6555492031917854E-2</v>
      </c>
      <c r="P163" s="86">
        <v>133</v>
      </c>
      <c r="Q163" s="86">
        <v>5.4201283918110417E-3</v>
      </c>
      <c r="R163" s="86">
        <v>5.7334548066419518E-3</v>
      </c>
    </row>
    <row r="164" spans="2:18">
      <c r="B164" s="140">
        <v>44796</v>
      </c>
      <c r="C164" s="141">
        <v>17577.5</v>
      </c>
      <c r="D164" s="142">
        <f t="shared" si="4"/>
        <v>4.9626821611402925E-3</v>
      </c>
      <c r="E164" s="50"/>
      <c r="I164" s="129">
        <v>44796</v>
      </c>
      <c r="J164" s="130">
        <v>1276.942749</v>
      </c>
      <c r="K164" s="131">
        <f t="shared" si="5"/>
        <v>3.4960714420458655E-3</v>
      </c>
      <c r="P164" s="86">
        <v>134</v>
      </c>
      <c r="Q164" s="86">
        <v>1.1026205756026076E-2</v>
      </c>
      <c r="R164" s="86">
        <v>-5.6900567174442158E-3</v>
      </c>
    </row>
    <row r="165" spans="2:18">
      <c r="B165" s="140">
        <v>44797</v>
      </c>
      <c r="C165" s="141">
        <v>17604.949218999998</v>
      </c>
      <c r="D165" s="142">
        <f t="shared" si="4"/>
        <v>1.5616110937276783E-3</v>
      </c>
      <c r="E165" s="50"/>
      <c r="I165" s="129">
        <v>44797</v>
      </c>
      <c r="J165" s="130">
        <v>1284.307861</v>
      </c>
      <c r="K165" s="131">
        <f t="shared" si="5"/>
        <v>5.7677699378204097E-3</v>
      </c>
      <c r="P165" s="86">
        <v>135</v>
      </c>
      <c r="Q165" s="86">
        <v>3.0376438288601099E-3</v>
      </c>
      <c r="R165" s="86">
        <v>-5.8896391733762547E-3</v>
      </c>
    </row>
    <row r="166" spans="2:18">
      <c r="B166" s="140">
        <v>44798</v>
      </c>
      <c r="C166" s="141">
        <v>17522.449218999998</v>
      </c>
      <c r="D166" s="142">
        <f t="shared" si="4"/>
        <v>-4.6861822192001863E-3</v>
      </c>
      <c r="E166" s="50"/>
      <c r="I166" s="129">
        <v>44798</v>
      </c>
      <c r="J166" s="130">
        <v>1296.220703</v>
      </c>
      <c r="K166" s="131">
        <f t="shared" si="5"/>
        <v>9.2756903245334536E-3</v>
      </c>
      <c r="P166" s="86">
        <v>136</v>
      </c>
      <c r="Q166" s="86">
        <v>8.5451772668552507E-3</v>
      </c>
      <c r="R166" s="86">
        <v>-3.6709184419980723E-2</v>
      </c>
    </row>
    <row r="167" spans="2:18">
      <c r="B167" s="140">
        <v>44799</v>
      </c>
      <c r="C167" s="141">
        <v>17558.900390999999</v>
      </c>
      <c r="D167" s="142">
        <f t="shared" si="4"/>
        <v>2.0802555364506977E-3</v>
      </c>
      <c r="E167" s="50"/>
      <c r="I167" s="129">
        <v>44799</v>
      </c>
      <c r="J167" s="130">
        <v>1308.5783690000001</v>
      </c>
      <c r="K167" s="131">
        <f t="shared" si="5"/>
        <v>9.5336125795547552E-3</v>
      </c>
      <c r="P167" s="86">
        <v>137</v>
      </c>
      <c r="Q167" s="86">
        <v>4.0266915791572298E-3</v>
      </c>
      <c r="R167" s="86">
        <v>2.3563857410099899E-2</v>
      </c>
    </row>
    <row r="168" spans="2:18">
      <c r="B168" s="140">
        <v>44802</v>
      </c>
      <c r="C168" s="141">
        <v>17312.900390999999</v>
      </c>
      <c r="D168" s="142">
        <f t="shared" si="4"/>
        <v>-1.4009988924254615E-2</v>
      </c>
      <c r="E168" s="50"/>
      <c r="I168" s="129">
        <v>44802</v>
      </c>
      <c r="J168" s="130">
        <v>1328.202393</v>
      </c>
      <c r="K168" s="131">
        <f t="shared" si="5"/>
        <v>1.499644535236847E-2</v>
      </c>
      <c r="P168" s="86">
        <v>138</v>
      </c>
      <c r="Q168" s="86">
        <v>5.3753934790562556E-3</v>
      </c>
      <c r="R168" s="86">
        <v>-2.9679292862510191E-2</v>
      </c>
    </row>
    <row r="169" spans="2:18">
      <c r="B169" s="140">
        <v>44803</v>
      </c>
      <c r="C169" s="141">
        <v>17759.300781000002</v>
      </c>
      <c r="D169" s="142">
        <f t="shared" si="4"/>
        <v>2.5784263752367045E-2</v>
      </c>
      <c r="E169" s="50"/>
      <c r="I169" s="129">
        <v>44803</v>
      </c>
      <c r="J169" s="130">
        <v>1375.6557620000001</v>
      </c>
      <c r="K169" s="131">
        <f t="shared" si="5"/>
        <v>3.5727513555232744E-2</v>
      </c>
      <c r="P169" s="86">
        <v>139</v>
      </c>
      <c r="Q169" s="86">
        <v>-3.9034399522425212E-3</v>
      </c>
      <c r="R169" s="86">
        <v>3.7812174323671949E-3</v>
      </c>
    </row>
    <row r="170" spans="2:18">
      <c r="B170" s="140">
        <v>44805</v>
      </c>
      <c r="C170" s="141">
        <v>17542.800781000002</v>
      </c>
      <c r="D170" s="142">
        <f t="shared" si="4"/>
        <v>-1.2190795272279249E-2</v>
      </c>
      <c r="E170" s="50"/>
      <c r="I170" s="129">
        <v>44805</v>
      </c>
      <c r="J170" s="130">
        <v>1369.1804199999999</v>
      </c>
      <c r="K170" s="131">
        <f t="shared" si="5"/>
        <v>-4.7070947390108649E-3</v>
      </c>
      <c r="P170" s="86">
        <v>140</v>
      </c>
      <c r="Q170" s="86">
        <v>-6.6165579881874315E-3</v>
      </c>
      <c r="R170" s="86">
        <v>-6.2269653371198799E-3</v>
      </c>
    </row>
    <row r="171" spans="2:18">
      <c r="B171" s="140">
        <v>44806</v>
      </c>
      <c r="C171" s="141">
        <v>17539.449218999998</v>
      </c>
      <c r="D171" s="142">
        <f t="shared" si="4"/>
        <v>-1.9105056494932263E-4</v>
      </c>
      <c r="E171" s="50"/>
      <c r="I171" s="129">
        <v>44806</v>
      </c>
      <c r="J171" s="130">
        <v>1366.560669</v>
      </c>
      <c r="K171" s="131">
        <f t="shared" si="5"/>
        <v>-1.9133716504651382E-3</v>
      </c>
      <c r="P171" s="86">
        <v>141</v>
      </c>
      <c r="Q171" s="86">
        <v>7.4381141969265905E-3</v>
      </c>
      <c r="R171" s="86">
        <v>1.194156370819691E-3</v>
      </c>
    </row>
    <row r="172" spans="2:18">
      <c r="B172" s="140">
        <v>44809</v>
      </c>
      <c r="C172" s="141">
        <v>17665.800781000002</v>
      </c>
      <c r="D172" s="142">
        <f t="shared" si="4"/>
        <v>7.2038500424021481E-3</v>
      </c>
      <c r="E172" s="50"/>
      <c r="I172" s="129">
        <v>44809</v>
      </c>
      <c r="J172" s="130">
        <v>1364.089111</v>
      </c>
      <c r="K172" s="131">
        <f t="shared" si="5"/>
        <v>-1.8085973466575446E-3</v>
      </c>
      <c r="P172" s="86">
        <v>142</v>
      </c>
      <c r="Q172" s="86">
        <v>1.3318882604617017E-2</v>
      </c>
      <c r="R172" s="86">
        <v>-9.8379847022866777E-3</v>
      </c>
    </row>
    <row r="173" spans="2:18">
      <c r="B173" s="140">
        <v>44810</v>
      </c>
      <c r="C173" s="141">
        <v>17655.599609000001</v>
      </c>
      <c r="D173" s="142">
        <f t="shared" si="4"/>
        <v>-5.774531325504678E-4</v>
      </c>
      <c r="E173" s="50"/>
      <c r="I173" s="129">
        <v>44810</v>
      </c>
      <c r="J173" s="130">
        <v>1362.6556399999999</v>
      </c>
      <c r="K173" s="131">
        <f t="shared" si="5"/>
        <v>-1.0508631646133375E-3</v>
      </c>
      <c r="P173" s="86">
        <v>143</v>
      </c>
      <c r="Q173" s="86">
        <v>1.0430354319468569E-2</v>
      </c>
      <c r="R173" s="86">
        <v>9.239077409172812E-3</v>
      </c>
    </row>
    <row r="174" spans="2:18">
      <c r="B174" s="140">
        <v>44811</v>
      </c>
      <c r="C174" s="141">
        <v>17624.400390999999</v>
      </c>
      <c r="D174" s="142">
        <f t="shared" si="4"/>
        <v>-1.767100449202397E-3</v>
      </c>
      <c r="E174" s="50"/>
      <c r="I174" s="129">
        <v>44811</v>
      </c>
      <c r="J174" s="130">
        <v>1351.8302000000001</v>
      </c>
      <c r="K174" s="131">
        <f t="shared" si="5"/>
        <v>-7.9443695694092192E-3</v>
      </c>
      <c r="P174" s="86">
        <v>144</v>
      </c>
      <c r="Q174" s="86">
        <v>8.2108899110782969E-3</v>
      </c>
      <c r="R174" s="86">
        <v>2.2645077750261394E-2</v>
      </c>
    </row>
    <row r="175" spans="2:18">
      <c r="B175" s="140">
        <v>44812</v>
      </c>
      <c r="C175" s="141">
        <v>17798.75</v>
      </c>
      <c r="D175" s="142">
        <f t="shared" si="4"/>
        <v>9.8925129441018271E-3</v>
      </c>
      <c r="E175" s="50"/>
      <c r="I175" s="129">
        <v>44812</v>
      </c>
      <c r="J175" s="130">
        <v>1333.5410159999999</v>
      </c>
      <c r="K175" s="131">
        <f t="shared" si="5"/>
        <v>-1.3529202114289356E-2</v>
      </c>
      <c r="P175" s="86">
        <v>145</v>
      </c>
      <c r="Q175" s="86">
        <v>3.6823921273342172E-4</v>
      </c>
      <c r="R175" s="86">
        <v>1.4176071970093559E-3</v>
      </c>
    </row>
    <row r="176" spans="2:18">
      <c r="B176" s="140">
        <v>44813</v>
      </c>
      <c r="C176" s="141">
        <v>17833.349609000001</v>
      </c>
      <c r="D176" s="142">
        <f t="shared" si="4"/>
        <v>1.9439347707002337E-3</v>
      </c>
      <c r="E176" s="50"/>
      <c r="I176" s="129">
        <v>44813</v>
      </c>
      <c r="J176" s="130">
        <v>1330.772827</v>
      </c>
      <c r="K176" s="131">
        <f t="shared" si="5"/>
        <v>-2.0758184163717488E-3</v>
      </c>
      <c r="P176" s="86">
        <v>146</v>
      </c>
      <c r="Q176" s="86">
        <v>2.0081783678243888E-3</v>
      </c>
      <c r="R176" s="86">
        <v>-1.0340289463869482E-2</v>
      </c>
    </row>
    <row r="177" spans="2:18">
      <c r="B177" s="140">
        <v>44816</v>
      </c>
      <c r="C177" s="141">
        <v>17936.349609000001</v>
      </c>
      <c r="D177" s="142">
        <f t="shared" si="4"/>
        <v>5.7756956633665014E-3</v>
      </c>
      <c r="E177" s="50"/>
      <c r="I177" s="129">
        <v>44816</v>
      </c>
      <c r="J177" s="130">
        <v>1367.7963870000001</v>
      </c>
      <c r="K177" s="131">
        <f t="shared" si="5"/>
        <v>2.782109707143884E-2</v>
      </c>
      <c r="P177" s="86">
        <v>147</v>
      </c>
      <c r="Q177" s="86">
        <v>-1.3891439098225554E-4</v>
      </c>
      <c r="R177" s="86">
        <v>2.3938387156176875E-2</v>
      </c>
    </row>
    <row r="178" spans="2:18">
      <c r="B178" s="140">
        <v>44817</v>
      </c>
      <c r="C178" s="141">
        <v>18070.050781000002</v>
      </c>
      <c r="D178" s="142">
        <f t="shared" si="4"/>
        <v>7.4542019371050356E-3</v>
      </c>
      <c r="E178" s="50"/>
      <c r="I178" s="129">
        <v>44817</v>
      </c>
      <c r="J178" s="130">
        <v>1362.853394</v>
      </c>
      <c r="K178" s="131">
        <f t="shared" si="5"/>
        <v>-3.6138368597694757E-3</v>
      </c>
      <c r="P178" s="86">
        <v>148</v>
      </c>
      <c r="Q178" s="86">
        <v>8.1084708306971393E-4</v>
      </c>
      <c r="R178" s="86">
        <v>-1.6461006216521398E-2</v>
      </c>
    </row>
    <row r="179" spans="2:18">
      <c r="B179" s="140">
        <v>44818</v>
      </c>
      <c r="C179" s="141">
        <v>18003.75</v>
      </c>
      <c r="D179" s="142">
        <f t="shared" si="4"/>
        <v>-3.6690976579719734E-3</v>
      </c>
      <c r="E179" s="50"/>
      <c r="I179" s="129">
        <v>44818</v>
      </c>
      <c r="J179" s="130">
        <v>1353.115356</v>
      </c>
      <c r="K179" s="131">
        <f t="shared" si="5"/>
        <v>-7.1453305563694116E-3</v>
      </c>
      <c r="P179" s="86">
        <v>149</v>
      </c>
      <c r="Q179" s="86">
        <v>5.7239503505625297E-3</v>
      </c>
      <c r="R179" s="86">
        <v>6.3360051603639075E-3</v>
      </c>
    </row>
    <row r="180" spans="2:18">
      <c r="B180" s="140">
        <v>44819</v>
      </c>
      <c r="C180" s="141">
        <v>17877.400390999999</v>
      </c>
      <c r="D180" s="142">
        <f t="shared" si="4"/>
        <v>-7.0179606470874558E-3</v>
      </c>
      <c r="E180" s="50"/>
      <c r="I180" s="129">
        <v>44819</v>
      </c>
      <c r="J180" s="130">
        <v>1342.932861</v>
      </c>
      <c r="K180" s="131">
        <f t="shared" si="5"/>
        <v>-7.5252231488236966E-3</v>
      </c>
      <c r="P180" s="86">
        <v>150</v>
      </c>
      <c r="Q180" s="86">
        <v>5.5075294814211869E-4</v>
      </c>
      <c r="R180" s="86">
        <v>2.5527356138247701E-3</v>
      </c>
    </row>
    <row r="181" spans="2:18">
      <c r="B181" s="140">
        <v>44820</v>
      </c>
      <c r="C181" s="141">
        <v>17530.849609000001</v>
      </c>
      <c r="D181" s="142">
        <f t="shared" si="4"/>
        <v>-1.9384853190090329E-2</v>
      </c>
      <c r="E181" s="50"/>
      <c r="I181" s="129">
        <v>44820</v>
      </c>
      <c r="J181" s="130">
        <v>1287.520996</v>
      </c>
      <c r="K181" s="131">
        <f t="shared" si="5"/>
        <v>-4.1261828203934342E-2</v>
      </c>
      <c r="P181" s="86">
        <v>151</v>
      </c>
      <c r="Q181" s="86">
        <v>5.5344956159538395E-3</v>
      </c>
      <c r="R181" s="86">
        <v>-6.1456515732842129E-3</v>
      </c>
    </row>
    <row r="182" spans="2:18">
      <c r="B182" s="140">
        <v>44823</v>
      </c>
      <c r="C182" s="141">
        <v>17622.25</v>
      </c>
      <c r="D182" s="142">
        <f t="shared" si="4"/>
        <v>5.2136886139891366E-3</v>
      </c>
      <c r="E182" s="50"/>
      <c r="I182" s="129">
        <v>44823</v>
      </c>
      <c r="J182" s="130">
        <v>1298.39563</v>
      </c>
      <c r="K182" s="131">
        <f t="shared" si="5"/>
        <v>8.4461799332086508E-3</v>
      </c>
      <c r="P182" s="86">
        <v>152</v>
      </c>
      <c r="Q182" s="86">
        <v>1.8215062449306197E-3</v>
      </c>
      <c r="R182" s="86">
        <v>-1.0268237476411729E-2</v>
      </c>
    </row>
    <row r="183" spans="2:18">
      <c r="B183" s="140">
        <v>44824</v>
      </c>
      <c r="C183" s="141">
        <v>17816.25</v>
      </c>
      <c r="D183" s="142">
        <f t="shared" si="4"/>
        <v>1.1008809885230319E-2</v>
      </c>
      <c r="E183" s="50"/>
      <c r="I183" s="129">
        <v>44824</v>
      </c>
      <c r="J183" s="130">
        <v>1304.376831</v>
      </c>
      <c r="K183" s="131">
        <f t="shared" si="5"/>
        <v>4.6066090040676241E-3</v>
      </c>
      <c r="P183" s="86">
        <v>153</v>
      </c>
      <c r="Q183" s="86">
        <v>5.607391740665638E-3</v>
      </c>
      <c r="R183" s="86">
        <v>-2.3694890996493012E-3</v>
      </c>
    </row>
    <row r="184" spans="2:18">
      <c r="B184" s="140">
        <v>44825</v>
      </c>
      <c r="C184" s="141">
        <v>17718.349609000001</v>
      </c>
      <c r="D184" s="142">
        <f t="shared" si="4"/>
        <v>-5.495005458499921E-3</v>
      </c>
      <c r="E184" s="50"/>
      <c r="I184" s="129">
        <v>44825</v>
      </c>
      <c r="J184" s="130">
        <v>1299.334961</v>
      </c>
      <c r="K184" s="131">
        <f t="shared" si="5"/>
        <v>-3.8653477125430613E-3</v>
      </c>
      <c r="P184" s="86">
        <v>154</v>
      </c>
      <c r="Q184" s="86">
        <v>5.2218282293933806E-3</v>
      </c>
      <c r="R184" s="86">
        <v>3.1009797843772693E-2</v>
      </c>
    </row>
    <row r="185" spans="2:18">
      <c r="B185" s="140">
        <v>44826</v>
      </c>
      <c r="C185" s="141">
        <v>17629.800781000002</v>
      </c>
      <c r="D185" s="142">
        <f t="shared" si="4"/>
        <v>-4.9975776499534049E-3</v>
      </c>
      <c r="E185" s="50"/>
      <c r="I185" s="129">
        <v>44826</v>
      </c>
      <c r="J185" s="130">
        <v>1298.4451899999999</v>
      </c>
      <c r="K185" s="131">
        <f t="shared" si="5"/>
        <v>-6.8478954750460978E-4</v>
      </c>
      <c r="P185" s="86">
        <v>155</v>
      </c>
      <c r="Q185" s="86">
        <v>6.5142180183421253E-4</v>
      </c>
      <c r="R185" s="86">
        <v>6.3934551029304742E-3</v>
      </c>
    </row>
    <row r="186" spans="2:18">
      <c r="B186" s="140">
        <v>44827</v>
      </c>
      <c r="C186" s="141">
        <v>17327.349609000001</v>
      </c>
      <c r="D186" s="142">
        <f t="shared" si="4"/>
        <v>-1.715567723975411E-2</v>
      </c>
      <c r="E186" s="50"/>
      <c r="I186" s="129">
        <v>44827</v>
      </c>
      <c r="J186" s="130">
        <v>1291.5740969999999</v>
      </c>
      <c r="K186" s="131">
        <f t="shared" si="5"/>
        <v>-5.2917851696150332E-3</v>
      </c>
      <c r="P186" s="86">
        <v>156</v>
      </c>
      <c r="Q186" s="86">
        <v>-8.2801656848595293E-3</v>
      </c>
      <c r="R186" s="86">
        <v>2.3890387255719901E-3</v>
      </c>
    </row>
    <row r="187" spans="2:18">
      <c r="B187" s="140">
        <v>44830</v>
      </c>
      <c r="C187" s="141">
        <v>17016.300781000002</v>
      </c>
      <c r="D187" s="142">
        <f t="shared" si="4"/>
        <v>-1.7951321755430915E-2</v>
      </c>
      <c r="E187" s="50"/>
      <c r="I187" s="129">
        <v>44830</v>
      </c>
      <c r="J187" s="130">
        <v>1278.1290280000001</v>
      </c>
      <c r="K187" s="131">
        <f t="shared" si="5"/>
        <v>-1.0409831717149928E-2</v>
      </c>
      <c r="P187" s="86">
        <v>157</v>
      </c>
      <c r="Q187" s="86">
        <v>-1.1367026620621737E-2</v>
      </c>
      <c r="R187" s="86">
        <v>-3.5188465411296117E-2</v>
      </c>
    </row>
    <row r="188" spans="2:18">
      <c r="B188" s="140">
        <v>44831</v>
      </c>
      <c r="C188" s="141">
        <v>17007.400390999999</v>
      </c>
      <c r="D188" s="142">
        <f t="shared" si="4"/>
        <v>-5.230508154827917E-4</v>
      </c>
      <c r="E188" s="50"/>
      <c r="I188" s="129">
        <v>44831</v>
      </c>
      <c r="J188" s="130">
        <v>1298.939453</v>
      </c>
      <c r="K188" s="131">
        <f t="shared" si="5"/>
        <v>1.6281943797617823E-2</v>
      </c>
      <c r="P188" s="86">
        <v>158</v>
      </c>
      <c r="Q188" s="86">
        <v>3.9153244813779327E-3</v>
      </c>
      <c r="R188" s="86">
        <v>-4.1925303933206719E-4</v>
      </c>
    </row>
    <row r="189" spans="2:18">
      <c r="B189" s="140">
        <v>44832</v>
      </c>
      <c r="C189" s="141">
        <v>16858.599609000001</v>
      </c>
      <c r="D189" s="142">
        <f t="shared" si="4"/>
        <v>-8.7491785093000481E-3</v>
      </c>
      <c r="E189" s="50"/>
      <c r="I189" s="129">
        <v>44832</v>
      </c>
      <c r="J189" s="130">
        <v>1304.2780760000001</v>
      </c>
      <c r="K189" s="131">
        <f t="shared" si="5"/>
        <v>4.1099860256535743E-3</v>
      </c>
      <c r="P189" s="86">
        <v>159</v>
      </c>
      <c r="Q189" s="86">
        <v>1.321695214345291E-3</v>
      </c>
      <c r="R189" s="86">
        <v>4.4460747234751187E-3</v>
      </c>
    </row>
    <row r="190" spans="2:18">
      <c r="B190" s="140">
        <v>44833</v>
      </c>
      <c r="C190" s="141">
        <v>16818.099609000001</v>
      </c>
      <c r="D190" s="142">
        <f t="shared" si="4"/>
        <v>-2.4023347691571597E-3</v>
      </c>
      <c r="E190" s="50"/>
      <c r="I190" s="129">
        <v>44833</v>
      </c>
      <c r="J190" s="130">
        <v>1318.316284</v>
      </c>
      <c r="K190" s="131">
        <f t="shared" si="5"/>
        <v>1.0763201696261541E-2</v>
      </c>
      <c r="P190" s="86">
        <v>160</v>
      </c>
      <c r="Q190" s="86">
        <v>-3.4428213951556617E-3</v>
      </c>
      <c r="R190" s="86">
        <v>1.2718511719689116E-2</v>
      </c>
    </row>
    <row r="191" spans="2:18">
      <c r="B191" s="140">
        <v>44834</v>
      </c>
      <c r="C191" s="141">
        <v>17094.349609000001</v>
      </c>
      <c r="D191" s="142">
        <f t="shared" si="4"/>
        <v>1.6425755966635387E-2</v>
      </c>
      <c r="E191" s="50"/>
      <c r="I191" s="129">
        <v>44834</v>
      </c>
      <c r="J191" s="130">
        <v>1333.1948239999999</v>
      </c>
      <c r="K191" s="131">
        <f t="shared" si="5"/>
        <v>1.1286017005612539E-2</v>
      </c>
      <c r="P191" s="86">
        <v>161</v>
      </c>
      <c r="Q191" s="86">
        <v>1.7172092683499329E-3</v>
      </c>
      <c r="R191" s="86">
        <v>7.8164033112048219E-3</v>
      </c>
    </row>
    <row r="192" spans="2:18">
      <c r="B192" s="140">
        <v>44837</v>
      </c>
      <c r="C192" s="141">
        <v>16887.349609000001</v>
      </c>
      <c r="D192" s="142">
        <f t="shared" si="4"/>
        <v>-1.2109264449056115E-2</v>
      </c>
      <c r="E192" s="50"/>
      <c r="I192" s="129">
        <v>44837</v>
      </c>
      <c r="J192" s="130">
        <v>1308.084106</v>
      </c>
      <c r="K192" s="131">
        <f t="shared" si="5"/>
        <v>-1.8834995116962672E-2</v>
      </c>
      <c r="P192" s="86">
        <v>162</v>
      </c>
      <c r="Q192" s="86">
        <v>-1.0553080919600508E-2</v>
      </c>
      <c r="R192" s="86">
        <v>2.5549526271968978E-2</v>
      </c>
    </row>
    <row r="193" spans="2:18">
      <c r="B193" s="140">
        <v>44838</v>
      </c>
      <c r="C193" s="141">
        <v>17274.300781000002</v>
      </c>
      <c r="D193" s="142">
        <f t="shared" si="4"/>
        <v>2.2913670940629897E-2</v>
      </c>
      <c r="E193" s="50"/>
      <c r="I193" s="129">
        <v>44838</v>
      </c>
      <c r="J193" s="130">
        <v>1328.004639</v>
      </c>
      <c r="K193" s="131">
        <f t="shared" si="5"/>
        <v>1.5228786060947658E-2</v>
      </c>
      <c r="P193" s="86">
        <v>163</v>
      </c>
      <c r="Q193" s="86">
        <v>1.9793694068637763E-2</v>
      </c>
      <c r="R193" s="86">
        <v>1.5933819486594981E-2</v>
      </c>
    </row>
    <row r="194" spans="2:18">
      <c r="B194" s="140">
        <v>44840</v>
      </c>
      <c r="C194" s="141">
        <v>17331.800781000002</v>
      </c>
      <c r="D194" s="142">
        <f t="shared" si="4"/>
        <v>3.3286441361055977E-3</v>
      </c>
      <c r="E194" s="50"/>
      <c r="I194" s="129">
        <v>44840</v>
      </c>
      <c r="J194" s="130">
        <v>1337.1492920000001</v>
      </c>
      <c r="K194" s="131">
        <f t="shared" si="5"/>
        <v>6.8860098311750413E-3</v>
      </c>
      <c r="P194" s="86">
        <v>164</v>
      </c>
      <c r="Q194" s="86">
        <v>-9.1657785655356785E-3</v>
      </c>
      <c r="R194" s="86">
        <v>4.4586838265248136E-3</v>
      </c>
    </row>
    <row r="195" spans="2:18">
      <c r="B195" s="140">
        <v>44841</v>
      </c>
      <c r="C195" s="141">
        <v>17314.650390999999</v>
      </c>
      <c r="D195" s="142">
        <f t="shared" si="4"/>
        <v>-9.8953306795469538E-4</v>
      </c>
      <c r="E195" s="50"/>
      <c r="I195" s="129">
        <v>44841</v>
      </c>
      <c r="J195" s="130">
        <v>1335.3698730000001</v>
      </c>
      <c r="K195" s="131">
        <f t="shared" si="5"/>
        <v>-1.3307556685300639E-3</v>
      </c>
      <c r="P195" s="86">
        <v>165</v>
      </c>
      <c r="Q195" s="86">
        <v>-1.4870380153989232E-5</v>
      </c>
      <c r="R195" s="86">
        <v>-1.898501270311149E-3</v>
      </c>
    </row>
    <row r="196" spans="2:18">
      <c r="B196" s="140">
        <v>44844</v>
      </c>
      <c r="C196" s="141">
        <v>17241</v>
      </c>
      <c r="D196" s="142">
        <f t="shared" si="4"/>
        <v>-4.2536458627130021E-3</v>
      </c>
      <c r="E196" s="50"/>
      <c r="I196" s="129">
        <v>44844</v>
      </c>
      <c r="J196" s="130">
        <v>1330.080688</v>
      </c>
      <c r="K196" s="131">
        <f t="shared" si="5"/>
        <v>-3.9608389457802965E-3</v>
      </c>
      <c r="P196" s="86">
        <v>166</v>
      </c>
      <c r="Q196" s="86">
        <v>5.6244209671495096E-3</v>
      </c>
      <c r="R196" s="86">
        <v>-7.4330183138070546E-3</v>
      </c>
    </row>
    <row r="197" spans="2:18">
      <c r="B197" s="140">
        <v>44845</v>
      </c>
      <c r="C197" s="141">
        <v>16983.550781000002</v>
      </c>
      <c r="D197" s="142">
        <f t="shared" si="4"/>
        <v>-1.4932383214430616E-2</v>
      </c>
      <c r="E197" s="50"/>
      <c r="I197" s="129">
        <v>44845</v>
      </c>
      <c r="J197" s="130">
        <v>1264.832275</v>
      </c>
      <c r="K197" s="131">
        <f t="shared" si="5"/>
        <v>-4.9055981030829032E-2</v>
      </c>
      <c r="P197" s="86">
        <v>167</v>
      </c>
      <c r="Q197" s="86">
        <v>-3.0953785058391681E-4</v>
      </c>
      <c r="R197" s="86">
        <v>-7.4132531402942067E-4</v>
      </c>
    </row>
    <row r="198" spans="2:18">
      <c r="B198" s="140">
        <v>44846</v>
      </c>
      <c r="C198" s="141">
        <v>17123.599609000001</v>
      </c>
      <c r="D198" s="142">
        <f t="shared" si="4"/>
        <v>8.2461453323810115E-3</v>
      </c>
      <c r="E198" s="50"/>
      <c r="I198" s="129">
        <v>44846</v>
      </c>
      <c r="J198" s="130">
        <v>1255.736938</v>
      </c>
      <c r="K198" s="131">
        <f t="shared" si="5"/>
        <v>-7.1909431627999627E-3</v>
      </c>
      <c r="P198" s="86">
        <v>168</v>
      </c>
      <c r="Q198" s="86">
        <v>-1.2167532650099989E-3</v>
      </c>
      <c r="R198" s="86">
        <v>-6.7276163043992199E-3</v>
      </c>
    </row>
    <row r="199" spans="2:18">
      <c r="B199" s="140">
        <v>44847</v>
      </c>
      <c r="C199" s="141">
        <v>17014.349609000001</v>
      </c>
      <c r="D199" s="142">
        <f t="shared" si="4"/>
        <v>-6.3800837729573656E-3</v>
      </c>
      <c r="E199" s="50"/>
      <c r="I199" s="129">
        <v>44847</v>
      </c>
      <c r="J199" s="130">
        <v>1216.9338379999999</v>
      </c>
      <c r="K199" s="131">
        <f t="shared" si="5"/>
        <v>-3.0900659864160247E-2</v>
      </c>
      <c r="P199" s="86">
        <v>169</v>
      </c>
      <c r="Q199" s="86">
        <v>7.6747735333892514E-3</v>
      </c>
      <c r="R199" s="86">
        <v>-2.1203975647678609E-2</v>
      </c>
    </row>
    <row r="200" spans="2:18">
      <c r="B200" s="140">
        <v>44848</v>
      </c>
      <c r="C200" s="141">
        <v>17185.699218999998</v>
      </c>
      <c r="D200" s="142">
        <f t="shared" ref="D200:D263" si="6">(C200-C199)/C199</f>
        <v>1.0070888040842859E-2</v>
      </c>
      <c r="E200" s="50"/>
      <c r="I200" s="129">
        <v>44848</v>
      </c>
      <c r="J200" s="130">
        <v>1239.227173</v>
      </c>
      <c r="K200" s="131">
        <f t="shared" ref="K200:K263" si="7">(J200-J199)/J199</f>
        <v>1.83192662607185E-2</v>
      </c>
      <c r="P200" s="86">
        <v>170</v>
      </c>
      <c r="Q200" s="86">
        <v>1.6132521557972448E-3</v>
      </c>
      <c r="R200" s="86">
        <v>-3.6890705721689936E-3</v>
      </c>
    </row>
    <row r="201" spans="2:18">
      <c r="B201" s="140">
        <v>44851</v>
      </c>
      <c r="C201" s="141">
        <v>17311.800781000002</v>
      </c>
      <c r="D201" s="142">
        <f t="shared" si="6"/>
        <v>7.3375869316151731E-3</v>
      </c>
      <c r="E201" s="50"/>
      <c r="I201" s="129">
        <v>44851</v>
      </c>
      <c r="J201" s="130">
        <v>1217.9720460000001</v>
      </c>
      <c r="K201" s="131">
        <f t="shared" si="7"/>
        <v>-1.7151921345094572E-2</v>
      </c>
      <c r="P201" s="86">
        <v>171</v>
      </c>
      <c r="Q201" s="86">
        <v>4.5353219974753473E-3</v>
      </c>
      <c r="R201" s="86">
        <v>2.3285775073963493E-2</v>
      </c>
    </row>
    <row r="202" spans="2:18">
      <c r="B202" s="140">
        <v>44852</v>
      </c>
      <c r="C202" s="141">
        <v>17486.949218999998</v>
      </c>
      <c r="D202" s="142">
        <f t="shared" si="6"/>
        <v>1.0117285903164097E-2</v>
      </c>
      <c r="E202" s="50"/>
      <c r="I202" s="129">
        <v>44852</v>
      </c>
      <c r="J202" s="130">
        <v>1242.7368160000001</v>
      </c>
      <c r="K202" s="131">
        <f t="shared" si="7"/>
        <v>2.033279013367438E-2</v>
      </c>
      <c r="P202" s="86">
        <v>172</v>
      </c>
      <c r="Q202" s="86">
        <v>5.8153372956496535E-3</v>
      </c>
      <c r="R202" s="86">
        <v>-9.4291741554191292E-3</v>
      </c>
    </row>
    <row r="203" spans="2:18">
      <c r="B203" s="140">
        <v>44853</v>
      </c>
      <c r="C203" s="141">
        <v>17512.25</v>
      </c>
      <c r="D203" s="142">
        <f t="shared" si="6"/>
        <v>1.4468379065521514E-3</v>
      </c>
      <c r="E203" s="50"/>
      <c r="I203" s="129">
        <v>44853</v>
      </c>
      <c r="J203" s="130">
        <v>1234.4323730000001</v>
      </c>
      <c r="K203" s="131">
        <f t="shared" si="7"/>
        <v>-6.6823827000873142E-3</v>
      </c>
      <c r="P203" s="86">
        <v>173</v>
      </c>
      <c r="Q203" s="86">
        <v>-2.6672009412568917E-3</v>
      </c>
      <c r="R203" s="86">
        <v>-4.4781296151125199E-3</v>
      </c>
    </row>
    <row r="204" spans="2:18">
      <c r="B204" s="140">
        <v>44854</v>
      </c>
      <c r="C204" s="141">
        <v>17563.949218999998</v>
      </c>
      <c r="D204" s="142">
        <f t="shared" si="6"/>
        <v>2.9521745635197228E-3</v>
      </c>
      <c r="E204" s="50"/>
      <c r="I204" s="129">
        <v>44854</v>
      </c>
      <c r="J204" s="130">
        <v>1196.02478</v>
      </c>
      <c r="K204" s="131">
        <f t="shared" si="7"/>
        <v>-3.1113565910993918E-2</v>
      </c>
      <c r="P204" s="86">
        <v>174</v>
      </c>
      <c r="Q204" s="86">
        <v>-5.221016750363178E-3</v>
      </c>
      <c r="R204" s="86">
        <v>-2.3042063984605185E-3</v>
      </c>
    </row>
    <row r="205" spans="2:18">
      <c r="B205" s="140">
        <v>44855</v>
      </c>
      <c r="C205" s="141">
        <v>17576.300781000002</v>
      </c>
      <c r="D205" s="142">
        <f t="shared" si="6"/>
        <v>7.0323375716903282E-4</v>
      </c>
      <c r="E205" s="50"/>
      <c r="I205" s="129">
        <v>44855</v>
      </c>
      <c r="J205" s="130">
        <v>1152.674072</v>
      </c>
      <c r="K205" s="131">
        <f t="shared" si="7"/>
        <v>-3.6245660395096448E-2</v>
      </c>
      <c r="P205" s="86">
        <v>175</v>
      </c>
      <c r="Q205" s="86">
        <v>-1.4651908903458154E-2</v>
      </c>
      <c r="R205" s="86">
        <v>-2.6609919300476188E-2</v>
      </c>
    </row>
    <row r="206" spans="2:18">
      <c r="B206" s="140">
        <v>44858</v>
      </c>
      <c r="C206" s="141">
        <v>17730.75</v>
      </c>
      <c r="D206" s="142">
        <f t="shared" si="6"/>
        <v>8.7873563911103538E-3</v>
      </c>
      <c r="E206" s="50"/>
      <c r="I206" s="129">
        <v>44858</v>
      </c>
      <c r="J206" s="130">
        <v>1162.5600589999999</v>
      </c>
      <c r="K206" s="131">
        <f t="shared" si="7"/>
        <v>8.5765675138738499E-3</v>
      </c>
      <c r="P206" s="86">
        <v>176</v>
      </c>
      <c r="Q206" s="86">
        <v>4.106739970622054E-3</v>
      </c>
      <c r="R206" s="86">
        <v>4.3394399625865969E-3</v>
      </c>
    </row>
    <row r="207" spans="2:18">
      <c r="B207" s="140">
        <v>44859</v>
      </c>
      <c r="C207" s="141">
        <v>17656.349609000001</v>
      </c>
      <c r="D207" s="142">
        <f t="shared" si="6"/>
        <v>-4.1961220478546717E-3</v>
      </c>
      <c r="E207" s="50"/>
      <c r="I207" s="129">
        <v>44859</v>
      </c>
      <c r="J207" s="130">
        <v>1162.362427</v>
      </c>
      <c r="K207" s="131">
        <f t="shared" si="7"/>
        <v>-1.699972388264244E-4</v>
      </c>
      <c r="P207" s="86">
        <v>177</v>
      </c>
      <c r="Q207" s="86">
        <v>8.526052545154348E-3</v>
      </c>
      <c r="R207" s="86">
        <v>-3.9194435410867239E-3</v>
      </c>
    </row>
    <row r="208" spans="2:18">
      <c r="B208" s="140">
        <v>44861</v>
      </c>
      <c r="C208" s="141">
        <v>17736.949218999998</v>
      </c>
      <c r="D208" s="142">
        <f t="shared" si="6"/>
        <v>4.5649079104614753E-3</v>
      </c>
      <c r="E208" s="50"/>
      <c r="I208" s="129">
        <v>44861</v>
      </c>
      <c r="J208" s="130">
        <v>1172.98999</v>
      </c>
      <c r="K208" s="131">
        <f t="shared" si="7"/>
        <v>9.1430716901519469E-3</v>
      </c>
      <c r="P208" s="86">
        <v>178</v>
      </c>
      <c r="Q208" s="86">
        <v>-4.0596234506622055E-3</v>
      </c>
      <c r="R208" s="86">
        <v>1.9427573811914419E-4</v>
      </c>
    </row>
    <row r="209" spans="2:18">
      <c r="B209" s="140">
        <v>44862</v>
      </c>
      <c r="C209" s="141">
        <v>17786.800781000002</v>
      </c>
      <c r="D209" s="142">
        <f t="shared" si="6"/>
        <v>2.8106052165161512E-3</v>
      </c>
      <c r="E209" s="50"/>
      <c r="I209" s="129">
        <v>44862</v>
      </c>
      <c r="J209" s="130">
        <v>1173.8304439999999</v>
      </c>
      <c r="K209" s="131">
        <f t="shared" si="7"/>
        <v>7.1650568816866776E-4</v>
      </c>
      <c r="P209" s="86">
        <v>179</v>
      </c>
      <c r="Q209" s="86">
        <v>-3.6802890301487179E-3</v>
      </c>
      <c r="R209" s="86">
        <v>2.9954994826441083E-3</v>
      </c>
    </row>
    <row r="210" spans="2:18">
      <c r="B210" s="140">
        <v>44865</v>
      </c>
      <c r="C210" s="141">
        <v>18012.199218999998</v>
      </c>
      <c r="D210" s="142">
        <f t="shared" si="6"/>
        <v>1.2672230423852775E-2</v>
      </c>
      <c r="E210" s="50"/>
      <c r="I210" s="129">
        <v>44865</v>
      </c>
      <c r="J210" s="130">
        <v>1202.4508060000001</v>
      </c>
      <c r="K210" s="131">
        <f t="shared" si="7"/>
        <v>2.438202395098224E-2</v>
      </c>
      <c r="P210" s="86">
        <v>180</v>
      </c>
      <c r="Q210" s="86">
        <v>-1.2951957367145286E-2</v>
      </c>
      <c r="R210" s="86">
        <v>7.6601721975302533E-3</v>
      </c>
    </row>
    <row r="211" spans="2:18">
      <c r="B211" s="140">
        <v>44866</v>
      </c>
      <c r="C211" s="141">
        <v>18145.400390999999</v>
      </c>
      <c r="D211" s="142">
        <f t="shared" si="6"/>
        <v>7.395053229230052E-3</v>
      </c>
      <c r="E211" s="50"/>
      <c r="I211" s="129">
        <v>44866</v>
      </c>
      <c r="J211" s="130">
        <v>1206.849976</v>
      </c>
      <c r="K211" s="131">
        <f t="shared" si="7"/>
        <v>3.6585030988784688E-3</v>
      </c>
      <c r="P211" s="86">
        <v>181</v>
      </c>
      <c r="Q211" s="86">
        <v>-1.3558709434688314E-2</v>
      </c>
      <c r="R211" s="86">
        <v>3.1488777175383859E-3</v>
      </c>
    </row>
    <row r="212" spans="2:18">
      <c r="B212" s="140">
        <v>44867</v>
      </c>
      <c r="C212" s="141">
        <v>18082.849609000001</v>
      </c>
      <c r="D212" s="142">
        <f t="shared" si="6"/>
        <v>-3.4471976728065595E-3</v>
      </c>
      <c r="E212" s="50"/>
      <c r="I212" s="129">
        <v>44867</v>
      </c>
      <c r="J212" s="130">
        <v>1206.3063959999999</v>
      </c>
      <c r="K212" s="131">
        <f t="shared" si="7"/>
        <v>-4.5041223914315257E-4</v>
      </c>
      <c r="P212" s="86">
        <v>182</v>
      </c>
      <c r="Q212" s="86">
        <v>-2.6805108393177028E-4</v>
      </c>
      <c r="R212" s="86">
        <v>1.6549994881549592E-2</v>
      </c>
    </row>
    <row r="213" spans="2:18">
      <c r="B213" s="140">
        <v>44868</v>
      </c>
      <c r="C213" s="141">
        <v>18052.699218999998</v>
      </c>
      <c r="D213" s="142">
        <f t="shared" si="6"/>
        <v>-1.6673472739051256E-3</v>
      </c>
      <c r="E213" s="50"/>
      <c r="I213" s="129">
        <v>44868</v>
      </c>
      <c r="J213" s="130">
        <v>1193.3554690000001</v>
      </c>
      <c r="K213" s="131">
        <f t="shared" si="7"/>
        <v>-1.0736017849979025E-2</v>
      </c>
      <c r="P213" s="86">
        <v>183</v>
      </c>
      <c r="Q213" s="86">
        <v>-6.541229479249247E-3</v>
      </c>
      <c r="R213" s="86">
        <v>1.0651215504902821E-2</v>
      </c>
    </row>
    <row r="214" spans="2:18">
      <c r="B214" s="140">
        <v>44869</v>
      </c>
      <c r="C214" s="141">
        <v>18117.150390999999</v>
      </c>
      <c r="D214" s="142">
        <f t="shared" si="6"/>
        <v>3.5701681625630679E-3</v>
      </c>
      <c r="E214" s="50"/>
      <c r="I214" s="129">
        <v>44869</v>
      </c>
      <c r="J214" s="130">
        <v>1195.1843260000001</v>
      </c>
      <c r="K214" s="131">
        <f t="shared" si="7"/>
        <v>1.5325333042069218E-3</v>
      </c>
      <c r="P214" s="86">
        <v>184</v>
      </c>
      <c r="Q214" s="86">
        <v>-1.7011778156888653E-3</v>
      </c>
      <c r="R214" s="86">
        <v>1.2464379511950407E-2</v>
      </c>
    </row>
    <row r="215" spans="2:18">
      <c r="B215" s="140">
        <v>44872</v>
      </c>
      <c r="C215" s="141">
        <v>18202.800781000002</v>
      </c>
      <c r="D215" s="142">
        <f t="shared" si="6"/>
        <v>4.7275861905165173E-3</v>
      </c>
      <c r="E215" s="50"/>
      <c r="I215" s="129">
        <v>44872</v>
      </c>
      <c r="J215" s="130">
        <v>1218.41687</v>
      </c>
      <c r="K215" s="131">
        <f t="shared" si="7"/>
        <v>1.9438461076337742E-2</v>
      </c>
      <c r="P215" s="86">
        <v>185</v>
      </c>
      <c r="Q215" s="86">
        <v>1.2656971780946219E-2</v>
      </c>
      <c r="R215" s="86">
        <v>-1.3709547753336798E-3</v>
      </c>
    </row>
    <row r="216" spans="2:18">
      <c r="B216" s="140">
        <v>44874</v>
      </c>
      <c r="C216" s="141">
        <v>18157</v>
      </c>
      <c r="D216" s="142">
        <f t="shared" si="6"/>
        <v>-2.5161392222568506E-3</v>
      </c>
      <c r="E216" s="50"/>
      <c r="I216" s="129">
        <v>44874</v>
      </c>
      <c r="J216" s="130">
        <v>1189.3516850000001</v>
      </c>
      <c r="K216" s="131">
        <f t="shared" si="7"/>
        <v>-2.3854877354086479E-2</v>
      </c>
      <c r="P216" s="86">
        <v>186</v>
      </c>
      <c r="Q216" s="86">
        <v>-9.1036038196731488E-3</v>
      </c>
      <c r="R216" s="86">
        <v>-9.7313912972895236E-3</v>
      </c>
    </row>
    <row r="217" spans="2:18">
      <c r="B217" s="140">
        <v>44875</v>
      </c>
      <c r="C217" s="141">
        <v>18028.199218999998</v>
      </c>
      <c r="D217" s="142">
        <f t="shared" si="6"/>
        <v>-7.0937258908410931E-3</v>
      </c>
      <c r="E217" s="50"/>
      <c r="I217" s="129">
        <v>44875</v>
      </c>
      <c r="J217" s="130">
        <v>1212.7817379999999</v>
      </c>
      <c r="K217" s="131">
        <f t="shared" si="7"/>
        <v>1.9699852697480154E-2</v>
      </c>
      <c r="P217" s="86">
        <v>187</v>
      </c>
      <c r="Q217" s="86">
        <v>1.7604603225581956E-2</v>
      </c>
      <c r="R217" s="86">
        <v>-2.3758171646342981E-3</v>
      </c>
    </row>
    <row r="218" spans="2:18">
      <c r="B218" s="140">
        <v>44876</v>
      </c>
      <c r="C218" s="141">
        <v>18349.699218999998</v>
      </c>
      <c r="D218" s="142">
        <f t="shared" si="6"/>
        <v>1.7833173246786054E-2</v>
      </c>
      <c r="E218" s="50"/>
      <c r="I218" s="129">
        <v>44876</v>
      </c>
      <c r="J218" s="130">
        <v>1222.3713379999999</v>
      </c>
      <c r="K218" s="131">
        <f t="shared" si="7"/>
        <v>7.9071111474800417E-3</v>
      </c>
      <c r="P218" s="86">
        <v>188</v>
      </c>
      <c r="Q218" s="86">
        <v>2.6692203097299248E-3</v>
      </c>
      <c r="R218" s="86">
        <v>4.2167895214451166E-3</v>
      </c>
    </row>
    <row r="219" spans="2:18">
      <c r="B219" s="140">
        <v>44879</v>
      </c>
      <c r="C219" s="141">
        <v>18329.150390999999</v>
      </c>
      <c r="D219" s="142">
        <f t="shared" si="6"/>
        <v>-1.1198454947273461E-3</v>
      </c>
      <c r="E219" s="50"/>
      <c r="I219" s="129">
        <v>44879</v>
      </c>
      <c r="J219" s="130">
        <v>1225.584351</v>
      </c>
      <c r="K219" s="131">
        <f t="shared" si="7"/>
        <v>2.6285081301538555E-3</v>
      </c>
      <c r="P219" s="86">
        <v>189</v>
      </c>
      <c r="Q219" s="86">
        <v>-6.2378667386252229E-4</v>
      </c>
      <c r="R219" s="86">
        <v>-7.0696899466754157E-4</v>
      </c>
    </row>
    <row r="220" spans="2:18">
      <c r="B220" s="140">
        <v>44880</v>
      </c>
      <c r="C220" s="141">
        <v>18403.400390999999</v>
      </c>
      <c r="D220" s="142">
        <f t="shared" si="6"/>
        <v>4.0509242608679956E-3</v>
      </c>
      <c r="E220" s="50"/>
      <c r="I220" s="129">
        <v>44880</v>
      </c>
      <c r="J220" s="130">
        <v>1224.7438959999999</v>
      </c>
      <c r="K220" s="131">
        <f t="shared" si="7"/>
        <v>-6.8575859288204962E-4</v>
      </c>
      <c r="P220" s="86">
        <v>190</v>
      </c>
      <c r="Q220" s="86">
        <v>-3.1129726707377178E-3</v>
      </c>
      <c r="R220" s="86">
        <v>-8.4786627504257863E-4</v>
      </c>
    </row>
    <row r="221" spans="2:18">
      <c r="B221" s="140">
        <v>44881</v>
      </c>
      <c r="C221" s="141">
        <v>18409.650390999999</v>
      </c>
      <c r="D221" s="142">
        <f t="shared" si="6"/>
        <v>3.3961115159220794E-4</v>
      </c>
      <c r="E221" s="50"/>
      <c r="I221" s="129">
        <v>44881</v>
      </c>
      <c r="J221" s="130">
        <v>1218.5157469999999</v>
      </c>
      <c r="K221" s="131">
        <f t="shared" si="7"/>
        <v>-5.0852664139344533E-3</v>
      </c>
      <c r="P221" s="86">
        <v>191</v>
      </c>
      <c r="Q221" s="86">
        <v>-1.1256491339237598E-2</v>
      </c>
      <c r="R221" s="86">
        <v>-3.7799489691591436E-2</v>
      </c>
    </row>
    <row r="222" spans="2:18">
      <c r="B222" s="140">
        <v>44882</v>
      </c>
      <c r="C222" s="141">
        <v>18343.900390999999</v>
      </c>
      <c r="D222" s="142">
        <f t="shared" si="6"/>
        <v>-3.5714963947465006E-3</v>
      </c>
      <c r="E222" s="50"/>
      <c r="I222" s="129">
        <v>44882</v>
      </c>
      <c r="J222" s="130">
        <v>1209.6676030000001</v>
      </c>
      <c r="K222" s="131">
        <f t="shared" si="7"/>
        <v>-7.2614112881052659E-3</v>
      </c>
      <c r="P222" s="86">
        <v>192</v>
      </c>
      <c r="Q222" s="86">
        <v>6.4192669187326462E-3</v>
      </c>
      <c r="R222" s="86">
        <v>-1.3610210081532608E-2</v>
      </c>
    </row>
    <row r="223" spans="2:18">
      <c r="B223" s="140">
        <v>44883</v>
      </c>
      <c r="C223" s="141">
        <v>18307.650390999999</v>
      </c>
      <c r="D223" s="142">
        <f t="shared" si="6"/>
        <v>-1.9761337135141229E-3</v>
      </c>
      <c r="E223" s="50"/>
      <c r="I223" s="129">
        <v>44883</v>
      </c>
      <c r="J223" s="130">
        <v>1207.640991</v>
      </c>
      <c r="K223" s="131">
        <f t="shared" si="7"/>
        <v>-1.6753461818553089E-3</v>
      </c>
      <c r="P223" s="86">
        <v>193</v>
      </c>
      <c r="Q223" s="86">
        <v>-4.7345770092595899E-3</v>
      </c>
      <c r="R223" s="86">
        <v>-2.6166082854900657E-2</v>
      </c>
    </row>
    <row r="224" spans="2:18">
      <c r="B224" s="140">
        <v>44886</v>
      </c>
      <c r="C224" s="141">
        <v>18159.949218999998</v>
      </c>
      <c r="D224" s="142">
        <f t="shared" si="6"/>
        <v>-8.0677295472394717E-3</v>
      </c>
      <c r="E224" s="50"/>
      <c r="I224" s="129">
        <v>44886</v>
      </c>
      <c r="J224" s="130">
        <v>1220.5424800000001</v>
      </c>
      <c r="K224" s="131">
        <f t="shared" si="7"/>
        <v>1.0683215538516019E-2</v>
      </c>
      <c r="P224" s="86">
        <v>194</v>
      </c>
      <c r="Q224" s="86">
        <v>7.8108009383588495E-3</v>
      </c>
      <c r="R224" s="86">
        <v>1.0508465322359651E-2</v>
      </c>
    </row>
    <row r="225" spans="2:18">
      <c r="B225" s="140">
        <v>44887</v>
      </c>
      <c r="C225" s="141">
        <v>18244.199218999998</v>
      </c>
      <c r="D225" s="142">
        <f t="shared" si="6"/>
        <v>4.6393301536246994E-3</v>
      </c>
      <c r="E225" s="50"/>
      <c r="I225" s="129">
        <v>44887</v>
      </c>
      <c r="J225" s="130">
        <v>1226.5235600000001</v>
      </c>
      <c r="K225" s="131">
        <f t="shared" si="7"/>
        <v>4.9003456233657839E-3</v>
      </c>
      <c r="P225" s="86">
        <v>195</v>
      </c>
      <c r="Q225" s="86">
        <v>5.7264076363691806E-3</v>
      </c>
      <c r="R225" s="86">
        <v>-2.2878328981463754E-2</v>
      </c>
    </row>
    <row r="226" spans="2:18">
      <c r="B226" s="140">
        <v>44888</v>
      </c>
      <c r="C226" s="141">
        <v>18267.25</v>
      </c>
      <c r="D226" s="142">
        <f t="shared" si="6"/>
        <v>1.2634580845837307E-3</v>
      </c>
      <c r="E226" s="50"/>
      <c r="I226" s="129">
        <v>44888</v>
      </c>
      <c r="J226" s="130">
        <v>1226.6717530000001</v>
      </c>
      <c r="K226" s="131">
        <f t="shared" si="7"/>
        <v>1.2082360651921925E-4</v>
      </c>
      <c r="P226" s="86">
        <v>196</v>
      </c>
      <c r="Q226" s="86">
        <v>7.8461835726110832E-3</v>
      </c>
      <c r="R226" s="86">
        <v>1.2486606561063297E-2</v>
      </c>
    </row>
    <row r="227" spans="2:18">
      <c r="B227" s="140">
        <v>44889</v>
      </c>
      <c r="C227" s="141">
        <v>18484.099609000001</v>
      </c>
      <c r="D227" s="142">
        <f t="shared" si="6"/>
        <v>1.1870949869301662E-2</v>
      </c>
      <c r="E227" s="50"/>
      <c r="I227" s="129">
        <v>44889</v>
      </c>
      <c r="J227" s="130">
        <v>1228.846802</v>
      </c>
      <c r="K227" s="131">
        <f t="shared" si="7"/>
        <v>1.77313041951162E-3</v>
      </c>
      <c r="P227" s="86">
        <v>197</v>
      </c>
      <c r="Q227" s="86">
        <v>1.2341701108032699E-3</v>
      </c>
      <c r="R227" s="86">
        <v>-7.9165528108905842E-3</v>
      </c>
    </row>
    <row r="228" spans="2:18">
      <c r="B228" s="140">
        <v>44890</v>
      </c>
      <c r="C228" s="141">
        <v>18512.75</v>
      </c>
      <c r="D228" s="142">
        <f t="shared" si="6"/>
        <v>1.5500019804074849E-3</v>
      </c>
      <c r="E228" s="50"/>
      <c r="I228" s="129">
        <v>44890</v>
      </c>
      <c r="J228" s="130">
        <v>1232.3070070000001</v>
      </c>
      <c r="K228" s="131">
        <f t="shared" si="7"/>
        <v>2.8158147902313433E-3</v>
      </c>
      <c r="P228" s="86">
        <v>198</v>
      </c>
      <c r="Q228" s="86">
        <v>2.3821276608989158E-3</v>
      </c>
      <c r="R228" s="86">
        <v>-3.3495693571892832E-2</v>
      </c>
    </row>
    <row r="229" spans="2:18">
      <c r="B229" s="140">
        <v>44893</v>
      </c>
      <c r="C229" s="141">
        <v>18562.75</v>
      </c>
      <c r="D229" s="142">
        <f t="shared" si="6"/>
        <v>2.7008413120687092E-3</v>
      </c>
      <c r="E229" s="50"/>
      <c r="I229" s="129">
        <v>44893</v>
      </c>
      <c r="J229" s="130">
        <v>1207.640991</v>
      </c>
      <c r="K229" s="131">
        <f t="shared" si="7"/>
        <v>-2.001612898400092E-2</v>
      </c>
      <c r="P229" s="86">
        <v>199</v>
      </c>
      <c r="Q229" s="86">
        <v>6.671036053702658E-4</v>
      </c>
      <c r="R229" s="86">
        <v>-3.6912764000466711E-2</v>
      </c>
    </row>
    <row r="230" spans="2:18">
      <c r="B230" s="140">
        <v>44894</v>
      </c>
      <c r="C230" s="141">
        <v>18618.050781000002</v>
      </c>
      <c r="D230" s="142">
        <f t="shared" si="6"/>
        <v>2.979126530282514E-3</v>
      </c>
      <c r="E230" s="50"/>
      <c r="I230" s="129">
        <v>44894</v>
      </c>
      <c r="J230" s="130">
        <v>1220.7895510000001</v>
      </c>
      <c r="K230" s="131">
        <f t="shared" si="7"/>
        <v>1.0887805314650908E-2</v>
      </c>
      <c r="P230" s="86">
        <v>200</v>
      </c>
      <c r="Q230" s="86">
        <v>6.8319900914448287E-3</v>
      </c>
      <c r="R230" s="86">
        <v>1.7445774224290212E-3</v>
      </c>
    </row>
    <row r="231" spans="2:18">
      <c r="B231" s="140">
        <v>44895</v>
      </c>
      <c r="C231" s="141">
        <v>18758.349609000001</v>
      </c>
      <c r="D231" s="142">
        <f t="shared" si="6"/>
        <v>7.5356346188063944E-3</v>
      </c>
      <c r="E231" s="50"/>
      <c r="I231" s="129">
        <v>44895</v>
      </c>
      <c r="J231" s="130">
        <v>1239.2767329999999</v>
      </c>
      <c r="K231" s="131">
        <f t="shared" si="7"/>
        <v>1.5143627322871677E-2</v>
      </c>
      <c r="P231" s="86">
        <v>201</v>
      </c>
      <c r="Q231" s="86">
        <v>-3.0691054751364705E-3</v>
      </c>
      <c r="R231" s="86">
        <v>2.8991082363100463E-3</v>
      </c>
    </row>
    <row r="232" spans="2:18">
      <c r="B232" s="140">
        <v>44896</v>
      </c>
      <c r="C232" s="141">
        <v>18812.5</v>
      </c>
      <c r="D232" s="142">
        <f t="shared" si="6"/>
        <v>2.886735354053674E-3</v>
      </c>
      <c r="E232" s="50"/>
      <c r="I232" s="129">
        <v>44896</v>
      </c>
      <c r="J232" s="130">
        <v>1236.162476</v>
      </c>
      <c r="K232" s="131">
        <f t="shared" si="7"/>
        <v>-2.5129633414976349E-3</v>
      </c>
      <c r="P232" s="86">
        <v>202</v>
      </c>
      <c r="Q232" s="86">
        <v>3.6119850574777386E-3</v>
      </c>
      <c r="R232" s="86">
        <v>5.5310866326742083E-3</v>
      </c>
    </row>
    <row r="233" spans="2:18">
      <c r="B233" s="140">
        <v>44897</v>
      </c>
      <c r="C233" s="141">
        <v>18696.099609000001</v>
      </c>
      <c r="D233" s="142">
        <f t="shared" si="6"/>
        <v>-6.1873961993355068E-3</v>
      </c>
      <c r="E233" s="50"/>
      <c r="I233" s="129">
        <v>44897</v>
      </c>
      <c r="J233" s="130">
        <v>1224.8427730000001</v>
      </c>
      <c r="K233" s="131">
        <f t="shared" si="7"/>
        <v>-9.1571320273597188E-3</v>
      </c>
      <c r="P233" s="86">
        <v>203</v>
      </c>
      <c r="Q233" s="86">
        <v>2.2741680227657156E-3</v>
      </c>
      <c r="R233" s="86">
        <v>-1.5576623345970478E-3</v>
      </c>
    </row>
    <row r="234" spans="2:18">
      <c r="B234" s="140">
        <v>44900</v>
      </c>
      <c r="C234" s="141">
        <v>18701.050781000002</v>
      </c>
      <c r="D234" s="142">
        <f t="shared" si="6"/>
        <v>2.6482379231749159E-4</v>
      </c>
      <c r="E234" s="50"/>
      <c r="I234" s="129">
        <v>44900</v>
      </c>
      <c r="J234" s="130">
        <v>1220.2951660000001</v>
      </c>
      <c r="K234" s="131">
        <f t="shared" si="7"/>
        <v>-3.7128087786006559E-3</v>
      </c>
      <c r="P234" s="86">
        <v>204</v>
      </c>
      <c r="Q234" s="86">
        <v>9.7945635838362095E-3</v>
      </c>
      <c r="R234" s="86">
        <v>1.4587460367146031E-2</v>
      </c>
    </row>
    <row r="235" spans="2:18">
      <c r="B235" s="140">
        <v>44901</v>
      </c>
      <c r="C235" s="141">
        <v>18642.75</v>
      </c>
      <c r="D235" s="142">
        <f t="shared" si="6"/>
        <v>-3.1175136457698136E-3</v>
      </c>
      <c r="E235" s="50"/>
      <c r="I235" s="129">
        <v>44901</v>
      </c>
      <c r="J235" s="130">
        <v>1208.5307620000001</v>
      </c>
      <c r="K235" s="131">
        <f t="shared" si="7"/>
        <v>-9.6406216526797352E-3</v>
      </c>
      <c r="P235" s="86">
        <v>205</v>
      </c>
      <c r="Q235" s="86">
        <v>5.7702309697861285E-3</v>
      </c>
      <c r="R235" s="86">
        <v>-2.1117278709076597E-3</v>
      </c>
    </row>
    <row r="236" spans="2:18">
      <c r="B236" s="140">
        <v>44902</v>
      </c>
      <c r="C236" s="141">
        <v>18560.5</v>
      </c>
      <c r="D236" s="142">
        <f t="shared" si="6"/>
        <v>-4.4119027503989484E-3</v>
      </c>
      <c r="E236" s="50"/>
      <c r="I236" s="129">
        <v>44902</v>
      </c>
      <c r="J236" s="130">
        <v>1192.020996</v>
      </c>
      <c r="K236" s="131">
        <f t="shared" si="7"/>
        <v>-1.3661022556577774E-2</v>
      </c>
      <c r="P236" s="86">
        <v>206</v>
      </c>
      <c r="Q236" s="86">
        <v>-2.4979818086743543E-3</v>
      </c>
      <c r="R236" s="86">
        <v>2.0475695695312017E-3</v>
      </c>
    </row>
    <row r="237" spans="2:18">
      <c r="B237" s="140">
        <v>44903</v>
      </c>
      <c r="C237" s="141">
        <v>18609.349609000001</v>
      </c>
      <c r="D237" s="142">
        <f t="shared" si="6"/>
        <v>2.6319123407236218E-3</v>
      </c>
      <c r="E237" s="50"/>
      <c r="I237" s="129">
        <v>44903</v>
      </c>
      <c r="J237" s="130">
        <v>1198.6445309999999</v>
      </c>
      <c r="K237" s="131">
        <f t="shared" si="7"/>
        <v>5.5565590054421719E-3</v>
      </c>
      <c r="P237" s="86">
        <v>207</v>
      </c>
      <c r="Q237" s="86">
        <v>-1.1406823009512367E-3</v>
      </c>
      <c r="R237" s="86">
        <v>-9.5953355490277885E-3</v>
      </c>
    </row>
    <row r="238" spans="2:18">
      <c r="B238" s="140">
        <v>44904</v>
      </c>
      <c r="C238" s="141">
        <v>18496.599609000001</v>
      </c>
      <c r="D238" s="142">
        <f t="shared" si="6"/>
        <v>-6.0587824061014445E-3</v>
      </c>
      <c r="E238" s="50"/>
      <c r="I238" s="129">
        <v>44904</v>
      </c>
      <c r="J238" s="130">
        <v>1168.54126</v>
      </c>
      <c r="K238" s="131">
        <f t="shared" si="7"/>
        <v>-2.5114427356445305E-2</v>
      </c>
      <c r="P238" s="86">
        <v>208</v>
      </c>
      <c r="Q238" s="86">
        <v>2.8534045773607147E-3</v>
      </c>
      <c r="R238" s="86">
        <v>-1.3208712731537929E-3</v>
      </c>
    </row>
    <row r="239" spans="2:18">
      <c r="B239" s="140">
        <v>44907</v>
      </c>
      <c r="C239" s="141">
        <v>18497.150390999999</v>
      </c>
      <c r="D239" s="142">
        <f t="shared" si="6"/>
        <v>2.9777473245970985E-5</v>
      </c>
      <c r="E239" s="50"/>
      <c r="I239" s="129">
        <v>44907</v>
      </c>
      <c r="J239" s="130">
        <v>1153.7120359999999</v>
      </c>
      <c r="K239" s="131">
        <f t="shared" si="7"/>
        <v>-1.2690372610377547E-2</v>
      </c>
      <c r="P239" s="86">
        <v>209</v>
      </c>
      <c r="Q239" s="86">
        <v>3.7360421970958979E-3</v>
      </c>
      <c r="R239" s="86">
        <v>1.5702418879241845E-2</v>
      </c>
    </row>
    <row r="240" spans="2:18">
      <c r="B240" s="140">
        <v>44908</v>
      </c>
      <c r="C240" s="141">
        <v>18608</v>
      </c>
      <c r="D240" s="142">
        <f t="shared" si="6"/>
        <v>5.9927938442851138E-3</v>
      </c>
      <c r="E240" s="50"/>
      <c r="I240" s="129">
        <v>44908</v>
      </c>
      <c r="J240" s="130">
        <v>1138.487427</v>
      </c>
      <c r="K240" s="131">
        <f t="shared" si="7"/>
        <v>-1.3196194999217183E-2</v>
      </c>
      <c r="P240" s="86">
        <v>210</v>
      </c>
      <c r="Q240" s="86">
        <v>-1.7879641704657894E-3</v>
      </c>
      <c r="R240" s="86">
        <v>-2.2066913183620689E-2</v>
      </c>
    </row>
    <row r="241" spans="2:18">
      <c r="B241" s="140">
        <v>44909</v>
      </c>
      <c r="C241" s="141">
        <v>18660.300781000002</v>
      </c>
      <c r="D241" s="142">
        <f t="shared" si="6"/>
        <v>2.8106610597593367E-3</v>
      </c>
      <c r="E241" s="50"/>
      <c r="I241" s="129">
        <v>44909</v>
      </c>
      <c r="J241" s="130">
        <v>1142.0958250000001</v>
      </c>
      <c r="K241" s="131">
        <f t="shared" si="7"/>
        <v>3.1694667103250138E-3</v>
      </c>
      <c r="P241" s="86">
        <v>211</v>
      </c>
      <c r="Q241" s="86">
        <v>-5.2787947119900692E-3</v>
      </c>
      <c r="R241" s="86">
        <v>2.4978647409470221E-2</v>
      </c>
    </row>
    <row r="242" spans="2:18">
      <c r="B242" s="140">
        <v>44910</v>
      </c>
      <c r="C242" s="141">
        <v>18414.900390999999</v>
      </c>
      <c r="D242" s="142">
        <f t="shared" si="6"/>
        <v>-1.3150934322016408E-2</v>
      </c>
      <c r="E242" s="50"/>
      <c r="I242" s="129">
        <v>44910</v>
      </c>
      <c r="J242" s="130">
        <v>1141.502808</v>
      </c>
      <c r="K242" s="131">
        <f t="shared" si="7"/>
        <v>-5.1923576552794534E-4</v>
      </c>
      <c r="P242" s="86">
        <v>212</v>
      </c>
      <c r="Q242" s="86">
        <v>1.3730256806861086E-2</v>
      </c>
      <c r="R242" s="86">
        <v>-5.8231456593810446E-3</v>
      </c>
    </row>
    <row r="243" spans="2:18">
      <c r="B243" s="140">
        <v>44911</v>
      </c>
      <c r="C243" s="141">
        <v>18269</v>
      </c>
      <c r="D243" s="142">
        <f t="shared" si="6"/>
        <v>-7.9229530381443609E-3</v>
      </c>
      <c r="E243" s="50"/>
      <c r="I243" s="129">
        <v>44911</v>
      </c>
      <c r="J243" s="130">
        <v>1140.6130370000001</v>
      </c>
      <c r="K243" s="131">
        <f t="shared" si="7"/>
        <v>-7.7947333441853652E-4</v>
      </c>
      <c r="P243" s="86">
        <v>213</v>
      </c>
      <c r="Q243" s="86">
        <v>-7.2316187574347475E-4</v>
      </c>
      <c r="R243" s="86">
        <v>3.3516700058973301E-3</v>
      </c>
    </row>
    <row r="244" spans="2:18">
      <c r="B244" s="140">
        <v>44914</v>
      </c>
      <c r="C244" s="141">
        <v>18420.449218999998</v>
      </c>
      <c r="D244" s="142">
        <f t="shared" si="6"/>
        <v>8.2899567026108855E-3</v>
      </c>
      <c r="E244" s="50"/>
      <c r="I244" s="129">
        <v>44914</v>
      </c>
      <c r="J244" s="130">
        <v>1149.2633060000001</v>
      </c>
      <c r="K244" s="131">
        <f t="shared" si="7"/>
        <v>7.5838770199853321E-3</v>
      </c>
      <c r="P244" s="86">
        <v>214</v>
      </c>
      <c r="Q244" s="86">
        <v>3.2200252865882554E-3</v>
      </c>
      <c r="R244" s="86">
        <v>-3.9057838794703051E-3</v>
      </c>
    </row>
    <row r="245" spans="2:18">
      <c r="B245" s="140">
        <v>44915</v>
      </c>
      <c r="C245" s="141">
        <v>18385.300781000002</v>
      </c>
      <c r="D245" s="142">
        <f t="shared" si="6"/>
        <v>-1.9081205665572067E-3</v>
      </c>
      <c r="E245" s="50"/>
      <c r="I245" s="129">
        <v>44915</v>
      </c>
      <c r="J245" s="130">
        <v>1158.9022219999999</v>
      </c>
      <c r="K245" s="131">
        <f t="shared" si="7"/>
        <v>8.387038853218098E-3</v>
      </c>
      <c r="P245" s="86">
        <v>215</v>
      </c>
      <c r="Q245" s="86">
        <v>3.898079495943368E-4</v>
      </c>
      <c r="R245" s="86">
        <v>-5.4750743635287903E-3</v>
      </c>
    </row>
    <row r="246" spans="2:18">
      <c r="B246" s="140">
        <v>44916</v>
      </c>
      <c r="C246" s="141">
        <v>18199.099609000001</v>
      </c>
      <c r="D246" s="142">
        <f t="shared" si="6"/>
        <v>-1.0127719650495335E-2</v>
      </c>
      <c r="E246" s="50"/>
      <c r="I246" s="129">
        <v>44916</v>
      </c>
      <c r="J246" s="130">
        <v>1143.1339109999999</v>
      </c>
      <c r="K246" s="131">
        <f t="shared" si="7"/>
        <v>-1.3606247965240367E-2</v>
      </c>
      <c r="P246" s="86">
        <v>216</v>
      </c>
      <c r="Q246" s="86">
        <v>-2.5927710079260598E-3</v>
      </c>
      <c r="R246" s="86">
        <v>-4.6686402801792062E-3</v>
      </c>
    </row>
    <row r="247" spans="2:18">
      <c r="B247" s="140">
        <v>44917</v>
      </c>
      <c r="C247" s="141">
        <v>18127.349609000001</v>
      </c>
      <c r="D247" s="142">
        <f t="shared" si="6"/>
        <v>-3.9425027359330164E-3</v>
      </c>
      <c r="E247" s="50"/>
      <c r="I247" s="129">
        <v>44917</v>
      </c>
      <c r="J247" s="130">
        <v>1125.3388669999999</v>
      </c>
      <c r="K247" s="131">
        <f t="shared" si="7"/>
        <v>-1.5566893632289388E-2</v>
      </c>
      <c r="P247" s="86">
        <v>217</v>
      </c>
      <c r="Q247" s="86">
        <v>-1.3761603404154267E-3</v>
      </c>
      <c r="R247" s="86">
        <v>-2.9918584143988217E-4</v>
      </c>
    </row>
    <row r="248" spans="2:18">
      <c r="B248" s="140">
        <v>44918</v>
      </c>
      <c r="C248" s="141">
        <v>17806.800781000002</v>
      </c>
      <c r="D248" s="142">
        <f t="shared" si="6"/>
        <v>-1.7683160247588019E-2</v>
      </c>
      <c r="E248" s="50"/>
      <c r="I248" s="129">
        <v>44918</v>
      </c>
      <c r="J248" s="130">
        <v>1088.2658690000001</v>
      </c>
      <c r="K248" s="131">
        <f t="shared" si="7"/>
        <v>-3.2943852813714175E-2</v>
      </c>
      <c r="P248" s="86">
        <v>218</v>
      </c>
      <c r="Q248" s="86">
        <v>-6.0215620165714068E-3</v>
      </c>
      <c r="R248" s="86">
        <v>1.6704777555087424E-2</v>
      </c>
    </row>
    <row r="249" spans="2:18">
      <c r="B249" s="140">
        <v>44921</v>
      </c>
      <c r="C249" s="141">
        <v>18014.599609000001</v>
      </c>
      <c r="D249" s="142">
        <f t="shared" si="6"/>
        <v>1.1669632886650927E-2</v>
      </c>
      <c r="E249" s="50"/>
      <c r="I249" s="129">
        <v>44921</v>
      </c>
      <c r="J249" s="130">
        <v>1097.9049070000001</v>
      </c>
      <c r="K249" s="131">
        <f t="shared" si="7"/>
        <v>8.8572455266443962E-3</v>
      </c>
      <c r="P249" s="86">
        <v>219</v>
      </c>
      <c r="Q249" s="86">
        <v>3.6687388577249067E-3</v>
      </c>
      <c r="R249" s="86">
        <v>1.2316067656408772E-3</v>
      </c>
    </row>
    <row r="250" spans="2:18">
      <c r="B250" s="140">
        <v>44922</v>
      </c>
      <c r="C250" s="141">
        <v>18132.300781000002</v>
      </c>
      <c r="D250" s="142">
        <f t="shared" si="6"/>
        <v>6.5336546220654303E-3</v>
      </c>
      <c r="E250" s="50"/>
      <c r="I250" s="129">
        <v>44922</v>
      </c>
      <c r="J250" s="130">
        <v>1097.212769</v>
      </c>
      <c r="K250" s="131">
        <f t="shared" si="7"/>
        <v>-6.3041707490985239E-4</v>
      </c>
      <c r="P250" s="86">
        <v>220</v>
      </c>
      <c r="Q250" s="86">
        <v>1.0943261428845515E-3</v>
      </c>
      <c r="R250" s="86">
        <v>-9.7350253636533225E-4</v>
      </c>
    </row>
    <row r="251" spans="2:18">
      <c r="B251" s="140">
        <v>44923</v>
      </c>
      <c r="C251" s="141">
        <v>18122.5</v>
      </c>
      <c r="D251" s="142">
        <f t="shared" si="6"/>
        <v>-5.4051502445136572E-4</v>
      </c>
      <c r="E251" s="50"/>
      <c r="I251" s="129">
        <v>44923</v>
      </c>
      <c r="J251" s="130">
        <v>1098.1519780000001</v>
      </c>
      <c r="K251" s="131">
        <f t="shared" si="7"/>
        <v>8.5599532427617874E-4</v>
      </c>
      <c r="P251" s="86">
        <v>221</v>
      </c>
      <c r="Q251" s="86">
        <v>9.1835135186669054E-3</v>
      </c>
      <c r="R251" s="86">
        <v>-7.4103830991552851E-3</v>
      </c>
    </row>
    <row r="252" spans="2:18">
      <c r="B252" s="140">
        <v>44924</v>
      </c>
      <c r="C252" s="141">
        <v>18191</v>
      </c>
      <c r="D252" s="142">
        <f t="shared" si="6"/>
        <v>3.7798317009242652E-3</v>
      </c>
      <c r="E252" s="50"/>
      <c r="I252" s="129">
        <v>44924</v>
      </c>
      <c r="J252" s="130">
        <v>1090.2926030000001</v>
      </c>
      <c r="K252" s="131">
        <f t="shared" si="7"/>
        <v>-7.1569101157690574E-3</v>
      </c>
      <c r="P252" s="86">
        <v>222</v>
      </c>
      <c r="Q252" s="86">
        <v>1.3128421984938883E-3</v>
      </c>
      <c r="R252" s="86">
        <v>1.502972591737455E-3</v>
      </c>
    </row>
    <row r="253" spans="2:18">
      <c r="B253" s="140">
        <v>44925</v>
      </c>
      <c r="C253" s="141">
        <v>18105.300781000002</v>
      </c>
      <c r="D253" s="142">
        <f t="shared" si="6"/>
        <v>-4.711077950634834E-3</v>
      </c>
      <c r="E253" s="50"/>
      <c r="I253" s="129">
        <v>44925</v>
      </c>
      <c r="J253" s="130">
        <v>1087.4255370000001</v>
      </c>
      <c r="K253" s="131">
        <f t="shared" si="7"/>
        <v>-2.6296298737707039E-3</v>
      </c>
      <c r="P253" s="86">
        <v>223</v>
      </c>
      <c r="Q253" s="86">
        <v>2.1904629576859564E-3</v>
      </c>
      <c r="R253" s="86">
        <v>-2.2206591941686876E-2</v>
      </c>
    </row>
    <row r="254" spans="2:18">
      <c r="B254" s="140">
        <v>44928</v>
      </c>
      <c r="C254" s="141">
        <v>18197.449218999998</v>
      </c>
      <c r="D254" s="142">
        <f t="shared" si="6"/>
        <v>5.0895833830442968E-3</v>
      </c>
      <c r="E254" s="50"/>
      <c r="I254" s="129">
        <v>44928</v>
      </c>
      <c r="J254" s="130">
        <v>1088.068115</v>
      </c>
      <c r="K254" s="131">
        <f t="shared" si="7"/>
        <v>5.9091678292999073E-4</v>
      </c>
      <c r="P254" s="86">
        <v>224</v>
      </c>
      <c r="Q254" s="86">
        <v>2.4026810125973986E-3</v>
      </c>
      <c r="R254" s="86">
        <v>8.4851243020535091E-3</v>
      </c>
    </row>
    <row r="255" spans="2:18">
      <c r="B255" s="140">
        <v>44929</v>
      </c>
      <c r="C255" s="141">
        <v>18232.550781000002</v>
      </c>
      <c r="D255" s="142">
        <f t="shared" si="6"/>
        <v>1.9289275973554496E-3</v>
      </c>
      <c r="E255" s="50"/>
      <c r="I255" s="129">
        <v>44929</v>
      </c>
      <c r="J255" s="130">
        <v>1115.106689</v>
      </c>
      <c r="K255" s="131">
        <f t="shared" si="7"/>
        <v>2.4850074758417055E-2</v>
      </c>
      <c r="P255" s="86">
        <v>225</v>
      </c>
      <c r="Q255" s="86">
        <v>5.8774371995820559E-3</v>
      </c>
      <c r="R255" s="86">
        <v>9.2661901232896221E-3</v>
      </c>
    </row>
    <row r="256" spans="2:18">
      <c r="B256" s="140">
        <v>44930</v>
      </c>
      <c r="C256" s="141">
        <v>18042.949218999998</v>
      </c>
      <c r="D256" s="142">
        <f t="shared" si="6"/>
        <v>-1.0399069459748099E-2</v>
      </c>
      <c r="E256" s="50"/>
      <c r="I256" s="129">
        <v>44930</v>
      </c>
      <c r="J256" s="130">
        <v>1135.669922</v>
      </c>
      <c r="K256" s="131">
        <f t="shared" si="7"/>
        <v>1.8440596942737988E-2</v>
      </c>
      <c r="P256" s="86">
        <v>226</v>
      </c>
      <c r="Q256" s="86">
        <v>2.3322242494386719E-3</v>
      </c>
      <c r="R256" s="86">
        <v>-4.8451875909363068E-3</v>
      </c>
    </row>
    <row r="257" spans="2:18">
      <c r="B257" s="140">
        <v>44931</v>
      </c>
      <c r="C257" s="141">
        <v>17992.150390999999</v>
      </c>
      <c r="D257" s="142">
        <f t="shared" si="6"/>
        <v>-2.8154392823156486E-3</v>
      </c>
      <c r="E257" s="50"/>
      <c r="I257" s="129">
        <v>44931</v>
      </c>
      <c r="J257" s="130">
        <v>1153.810913</v>
      </c>
      <c r="K257" s="131">
        <f t="shared" si="7"/>
        <v>1.5973823598367683E-2</v>
      </c>
      <c r="P257" s="86">
        <v>227</v>
      </c>
      <c r="Q257" s="86">
        <v>-4.5876350252688361E-3</v>
      </c>
      <c r="R257" s="86">
        <v>-4.5694970020908826E-3</v>
      </c>
    </row>
    <row r="258" spans="2:18">
      <c r="B258" s="140">
        <v>44932</v>
      </c>
      <c r="C258" s="141">
        <v>17859.449218999998</v>
      </c>
      <c r="D258" s="142">
        <f t="shared" si="6"/>
        <v>-7.3755037122400051E-3</v>
      </c>
      <c r="E258" s="50"/>
      <c r="I258" s="129">
        <v>44932</v>
      </c>
      <c r="J258" s="130">
        <v>1178.9216309999999</v>
      </c>
      <c r="K258" s="131">
        <f t="shared" si="7"/>
        <v>2.1763286962427877E-2</v>
      </c>
      <c r="P258" s="86">
        <v>228</v>
      </c>
      <c r="Q258" s="86">
        <v>3.3277571475587054E-4</v>
      </c>
      <c r="R258" s="86">
        <v>-4.0455844933565263E-3</v>
      </c>
    </row>
    <row r="259" spans="2:18">
      <c r="B259" s="140">
        <v>44935</v>
      </c>
      <c r="C259" s="141">
        <v>18101.199218999998</v>
      </c>
      <c r="D259" s="142">
        <f t="shared" si="6"/>
        <v>1.3536251708300794E-2</v>
      </c>
      <c r="E259" s="50"/>
      <c r="I259" s="129">
        <v>44935</v>
      </c>
      <c r="J259" s="130">
        <v>1172.940552</v>
      </c>
      <c r="K259" s="131">
        <f t="shared" si="7"/>
        <v>-5.0733474072628239E-3</v>
      </c>
      <c r="P259" s="86">
        <v>229</v>
      </c>
      <c r="Q259" s="86">
        <v>-2.2465674381871802E-3</v>
      </c>
      <c r="R259" s="86">
        <v>-7.3940542144925545E-3</v>
      </c>
    </row>
    <row r="260" spans="2:18">
      <c r="B260" s="140">
        <v>44936</v>
      </c>
      <c r="C260" s="141">
        <v>17914.150390999999</v>
      </c>
      <c r="D260" s="142">
        <f t="shared" si="6"/>
        <v>-1.0333504743910142E-2</v>
      </c>
      <c r="E260" s="50"/>
      <c r="I260" s="129">
        <v>44936</v>
      </c>
      <c r="J260" s="130">
        <v>1168.145874</v>
      </c>
      <c r="K260" s="131">
        <f t="shared" si="7"/>
        <v>-4.0877416948578446E-3</v>
      </c>
      <c r="P260" s="86">
        <v>230</v>
      </c>
      <c r="Q260" s="86">
        <v>-3.2336580923228737E-3</v>
      </c>
      <c r="R260" s="86">
        <v>-1.04273644642549E-2</v>
      </c>
    </row>
    <row r="261" spans="2:18">
      <c r="B261" s="140">
        <v>44937</v>
      </c>
      <c r="C261" s="141">
        <v>17895.699218999998</v>
      </c>
      <c r="D261" s="142">
        <f t="shared" si="6"/>
        <v>-1.0299775092471452E-3</v>
      </c>
      <c r="E261" s="50"/>
      <c r="I261" s="129">
        <v>44937</v>
      </c>
      <c r="J261" s="130">
        <v>1174.86853</v>
      </c>
      <c r="K261" s="131">
        <f t="shared" si="7"/>
        <v>5.754979878480412E-3</v>
      </c>
      <c r="P261" s="86">
        <v>231</v>
      </c>
      <c r="Q261" s="86">
        <v>2.1378982820636151E-3</v>
      </c>
      <c r="R261" s="86">
        <v>3.4186607233785567E-3</v>
      </c>
    </row>
    <row r="262" spans="2:18">
      <c r="B262" s="140">
        <v>44938</v>
      </c>
      <c r="C262" s="141">
        <v>17858.199218999998</v>
      </c>
      <c r="D262" s="142">
        <f t="shared" si="6"/>
        <v>-2.0954755408598936E-3</v>
      </c>
      <c r="E262" s="50"/>
      <c r="I262" s="129">
        <v>44938</v>
      </c>
      <c r="J262" s="130">
        <v>1179.02063</v>
      </c>
      <c r="K262" s="131">
        <f t="shared" si="7"/>
        <v>3.5340975555792774E-3</v>
      </c>
      <c r="P262" s="86">
        <v>232</v>
      </c>
      <c r="Q262" s="86">
        <v>-4.4895551875753182E-3</v>
      </c>
      <c r="R262" s="86">
        <v>-2.0624872168869986E-2</v>
      </c>
    </row>
    <row r="263" spans="2:18">
      <c r="B263" s="140">
        <v>44939</v>
      </c>
      <c r="C263" s="141">
        <v>17956.599609000001</v>
      </c>
      <c r="D263" s="142">
        <f t="shared" si="6"/>
        <v>5.5100958833134029E-3</v>
      </c>
      <c r="E263" s="50"/>
      <c r="I263" s="129">
        <v>44939</v>
      </c>
      <c r="J263" s="130">
        <v>1159.2482910000001</v>
      </c>
      <c r="K263" s="131">
        <f t="shared" si="7"/>
        <v>-1.6770138279938219E-2</v>
      </c>
      <c r="P263" s="86">
        <v>233</v>
      </c>
      <c r="Q263" s="86">
        <v>1.5353129434569584E-4</v>
      </c>
      <c r="R263" s="86">
        <v>-1.2843903904723243E-2</v>
      </c>
    </row>
    <row r="264" spans="2:18">
      <c r="B264" s="140">
        <v>44942</v>
      </c>
      <c r="C264" s="141">
        <v>17894.849609000001</v>
      </c>
      <c r="D264" s="142">
        <f t="shared" ref="D264:D327" si="8">(C264-C263)/C263</f>
        <v>-3.438847072641213E-3</v>
      </c>
      <c r="E264" s="50"/>
      <c r="I264" s="129">
        <v>44942</v>
      </c>
      <c r="J264" s="130">
        <v>1164.982422</v>
      </c>
      <c r="K264" s="131">
        <f t="shared" ref="K264:K327" si="9">(J264-J263)/J263</f>
        <v>4.9464217842870497E-3</v>
      </c>
      <c r="P264" s="86">
        <v>234</v>
      </c>
      <c r="Q264" s="86">
        <v>4.7008793130060749E-3</v>
      </c>
      <c r="R264" s="86">
        <v>-1.7897074312223257E-2</v>
      </c>
    </row>
    <row r="265" spans="2:18">
      <c r="B265" s="140">
        <v>44943</v>
      </c>
      <c r="C265" s="141">
        <v>18053.300781000002</v>
      </c>
      <c r="D265" s="142">
        <f t="shared" si="8"/>
        <v>8.8545685189949756E-3</v>
      </c>
      <c r="E265" s="50"/>
      <c r="I265" s="129">
        <v>44943</v>
      </c>
      <c r="J265" s="130">
        <v>1164.6857910000001</v>
      </c>
      <c r="K265" s="131">
        <f t="shared" si="9"/>
        <v>-2.5462272597271334E-4</v>
      </c>
      <c r="P265" s="86">
        <v>235</v>
      </c>
      <c r="Q265" s="86">
        <v>2.2742106083709621E-3</v>
      </c>
      <c r="R265" s="86">
        <v>8.9525610195405163E-4</v>
      </c>
    </row>
    <row r="266" spans="2:18">
      <c r="B266" s="140">
        <v>44944</v>
      </c>
      <c r="C266" s="141">
        <v>18165.349609000001</v>
      </c>
      <c r="D266" s="142">
        <f t="shared" si="8"/>
        <v>6.2065563167220707E-3</v>
      </c>
      <c r="E266" s="50"/>
      <c r="I266" s="129">
        <v>44944</v>
      </c>
      <c r="J266" s="130">
        <v>1189.1044919999999</v>
      </c>
      <c r="K266" s="131">
        <f t="shared" si="9"/>
        <v>2.0965913028812615E-2</v>
      </c>
      <c r="P266" s="86">
        <v>236</v>
      </c>
      <c r="Q266" s="86">
        <v>-9.8979728333001785E-3</v>
      </c>
      <c r="R266" s="86">
        <v>9.3787370677722338E-3</v>
      </c>
    </row>
    <row r="267" spans="2:18">
      <c r="B267" s="140">
        <v>44945</v>
      </c>
      <c r="C267" s="141">
        <v>18107.849609000001</v>
      </c>
      <c r="D267" s="142">
        <f t="shared" si="8"/>
        <v>-3.1653670993214296E-3</v>
      </c>
      <c r="E267" s="50"/>
      <c r="I267" s="129">
        <v>44945</v>
      </c>
      <c r="J267" s="130">
        <v>1191.7242429999999</v>
      </c>
      <c r="K267" s="131">
        <f t="shared" si="9"/>
        <v>2.203129344498306E-3</v>
      </c>
      <c r="P267" s="86">
        <v>237</v>
      </c>
      <c r="Q267" s="86">
        <v>-5.9111566225866349E-3</v>
      </c>
      <c r="R267" s="86">
        <v>5.1316832881680985E-3</v>
      </c>
    </row>
    <row r="268" spans="2:18">
      <c r="B268" s="140">
        <v>44946</v>
      </c>
      <c r="C268" s="141">
        <v>18027.650390999999</v>
      </c>
      <c r="D268" s="142">
        <f t="shared" si="8"/>
        <v>-4.4289752638624075E-3</v>
      </c>
      <c r="E268" s="50"/>
      <c r="I268" s="129">
        <v>44946</v>
      </c>
      <c r="J268" s="130">
        <v>1140.4646</v>
      </c>
      <c r="K268" s="131">
        <f t="shared" si="9"/>
        <v>-4.3013006826949203E-2</v>
      </c>
      <c r="P268" s="86">
        <v>238</v>
      </c>
      <c r="Q268" s="86">
        <v>6.4526771150516101E-3</v>
      </c>
      <c r="R268" s="86">
        <v>1.131199904933722E-3</v>
      </c>
    </row>
    <row r="269" spans="2:18">
      <c r="B269" s="140">
        <v>44949</v>
      </c>
      <c r="C269" s="141">
        <v>18118.550781000002</v>
      </c>
      <c r="D269" s="142">
        <f t="shared" si="8"/>
        <v>5.0422760608549964E-3</v>
      </c>
      <c r="E269" s="50"/>
      <c r="I269" s="129">
        <v>44949</v>
      </c>
      <c r="J269" s="130">
        <v>1186.3363039999999</v>
      </c>
      <c r="K269" s="131">
        <f t="shared" si="9"/>
        <v>4.022194463554582E-2</v>
      </c>
      <c r="P269" s="86">
        <v>239</v>
      </c>
      <c r="Q269" s="86">
        <v>-1.3242940650586323E-3</v>
      </c>
      <c r="R269" s="86">
        <v>9.7113329182767303E-3</v>
      </c>
    </row>
    <row r="270" spans="2:18">
      <c r="B270" s="140">
        <v>44950</v>
      </c>
      <c r="C270" s="141">
        <v>18118.300781000002</v>
      </c>
      <c r="D270" s="142">
        <f t="shared" si="8"/>
        <v>-1.3798013043193401E-5</v>
      </c>
      <c r="E270" s="50"/>
      <c r="I270" s="129">
        <v>44950</v>
      </c>
      <c r="J270" s="130">
        <v>1179.8115230000001</v>
      </c>
      <c r="K270" s="131">
        <f t="shared" si="9"/>
        <v>-5.4999421142218107E-3</v>
      </c>
      <c r="P270" s="86">
        <v>240</v>
      </c>
      <c r="Q270" s="86">
        <v>-7.5924937953262108E-3</v>
      </c>
      <c r="R270" s="86">
        <v>-6.0137541699141562E-3</v>
      </c>
    </row>
    <row r="271" spans="2:18">
      <c r="B271" s="140">
        <v>44951</v>
      </c>
      <c r="C271" s="141">
        <v>17891.949218999998</v>
      </c>
      <c r="D271" s="142">
        <f t="shared" si="8"/>
        <v>-1.2492979597588426E-2</v>
      </c>
      <c r="E271" s="50"/>
      <c r="I271" s="129">
        <v>44951</v>
      </c>
      <c r="J271" s="130">
        <v>1169.9995120000001</v>
      </c>
      <c r="K271" s="131">
        <f t="shared" si="9"/>
        <v>-8.3165919375411818E-3</v>
      </c>
      <c r="P271" s="86">
        <v>241</v>
      </c>
      <c r="Q271" s="86">
        <v>-2.8756974407124478E-3</v>
      </c>
      <c r="R271" s="86">
        <v>-1.269119619157694E-2</v>
      </c>
    </row>
    <row r="272" spans="2:18">
      <c r="B272" s="140">
        <v>44953</v>
      </c>
      <c r="C272" s="141">
        <v>17604.349609000001</v>
      </c>
      <c r="D272" s="142">
        <f t="shared" si="8"/>
        <v>-1.6074246940885949E-2</v>
      </c>
      <c r="E272" s="50"/>
      <c r="I272" s="129">
        <v>44953</v>
      </c>
      <c r="J272" s="130">
        <v>1160.7822269999999</v>
      </c>
      <c r="K272" s="131">
        <f t="shared" si="9"/>
        <v>-7.8780246533984646E-3</v>
      </c>
      <c r="P272" s="86">
        <v>242</v>
      </c>
      <c r="Q272" s="86">
        <v>-1.3354211639362309E-2</v>
      </c>
      <c r="R272" s="86">
        <v>-1.9589641174351864E-2</v>
      </c>
    </row>
    <row r="273" spans="2:18">
      <c r="B273" s="140">
        <v>44956</v>
      </c>
      <c r="C273" s="141">
        <v>17648.949218999998</v>
      </c>
      <c r="D273" s="142">
        <f t="shared" si="8"/>
        <v>2.5334426429020982E-3</v>
      </c>
      <c r="E273" s="50"/>
      <c r="I273" s="129">
        <v>44956</v>
      </c>
      <c r="J273" s="130">
        <v>1166.084717</v>
      </c>
      <c r="K273" s="131">
        <f t="shared" si="9"/>
        <v>4.568031691615515E-3</v>
      </c>
      <c r="P273" s="86">
        <v>243</v>
      </c>
      <c r="Q273" s="86">
        <v>9.0299908171989612E-3</v>
      </c>
      <c r="R273" s="86">
        <v>-1.7274529055456497E-4</v>
      </c>
    </row>
    <row r="274" spans="2:18">
      <c r="B274" s="140">
        <v>44957</v>
      </c>
      <c r="C274" s="141">
        <v>17662.150390999999</v>
      </c>
      <c r="D274" s="142">
        <f t="shared" si="8"/>
        <v>7.479862872396513E-4</v>
      </c>
      <c r="E274" s="50"/>
      <c r="I274" s="129">
        <v>44957</v>
      </c>
      <c r="J274" s="130">
        <v>1171.238525</v>
      </c>
      <c r="K274" s="131">
        <f t="shared" si="9"/>
        <v>4.4197543496318943E-3</v>
      </c>
      <c r="P274" s="86">
        <v>244</v>
      </c>
      <c r="Q274" s="86">
        <v>5.1133353643017772E-3</v>
      </c>
      <c r="R274" s="86">
        <v>-5.7437524392116293E-3</v>
      </c>
    </row>
    <row r="275" spans="2:18">
      <c r="B275" s="140">
        <v>44958</v>
      </c>
      <c r="C275" s="141">
        <v>17616.300781000002</v>
      </c>
      <c r="D275" s="142">
        <f t="shared" si="8"/>
        <v>-2.5959245609957441E-3</v>
      </c>
      <c r="E275" s="50"/>
      <c r="I275" s="129">
        <v>44958</v>
      </c>
      <c r="J275" s="130">
        <v>1187.3438719999999</v>
      </c>
      <c r="K275" s="131">
        <f t="shared" si="9"/>
        <v>1.3750697792321968E-2</v>
      </c>
      <c r="P275" s="86">
        <v>245</v>
      </c>
      <c r="Q275" s="86">
        <v>-2.8136914833226705E-4</v>
      </c>
      <c r="R275" s="86">
        <v>1.1373644726084457E-3</v>
      </c>
    </row>
    <row r="276" spans="2:18">
      <c r="B276" s="140">
        <v>44959</v>
      </c>
      <c r="C276" s="141">
        <v>17610.400390999999</v>
      </c>
      <c r="D276" s="142">
        <f t="shared" si="8"/>
        <v>-3.3493921756640085E-4</v>
      </c>
      <c r="E276" s="50"/>
      <c r="I276" s="129">
        <v>44959</v>
      </c>
      <c r="J276" s="130">
        <v>1188.136841</v>
      </c>
      <c r="K276" s="131">
        <f t="shared" si="9"/>
        <v>6.6785117496280359E-4</v>
      </c>
      <c r="P276" s="86">
        <v>246</v>
      </c>
      <c r="Q276" s="86">
        <v>3.0132922946547003E-3</v>
      </c>
      <c r="R276" s="86">
        <v>-1.0170202410423757E-2</v>
      </c>
    </row>
    <row r="277" spans="2:18">
      <c r="B277" s="140">
        <v>44960</v>
      </c>
      <c r="C277" s="141">
        <v>17854.050781000002</v>
      </c>
      <c r="D277" s="142">
        <f t="shared" si="8"/>
        <v>1.3835596272105368E-2</v>
      </c>
      <c r="E277" s="50"/>
      <c r="I277" s="129">
        <v>44960</v>
      </c>
      <c r="J277" s="130">
        <v>1186.253784</v>
      </c>
      <c r="K277" s="131">
        <f t="shared" si="9"/>
        <v>-1.5848822585243006E-3</v>
      </c>
      <c r="P277" s="86">
        <v>247</v>
      </c>
      <c r="Q277" s="86">
        <v>-3.4618066784364984E-3</v>
      </c>
      <c r="R277" s="86">
        <v>8.3217680466579451E-4</v>
      </c>
    </row>
    <row r="278" spans="2:18">
      <c r="B278" s="140">
        <v>44963</v>
      </c>
      <c r="C278" s="141">
        <v>17764.599609000001</v>
      </c>
      <c r="D278" s="142">
        <f t="shared" si="8"/>
        <v>-5.0101331679415564E-3</v>
      </c>
      <c r="E278" s="50"/>
      <c r="I278" s="129">
        <v>44963</v>
      </c>
      <c r="J278" s="130">
        <v>1188.7810059999999</v>
      </c>
      <c r="K278" s="131">
        <f t="shared" si="9"/>
        <v>2.1304227089402801E-3</v>
      </c>
      <c r="P278" s="86">
        <v>248</v>
      </c>
      <c r="Q278" s="86">
        <v>4.0120983260370563E-3</v>
      </c>
      <c r="R278" s="86">
        <v>-3.4211815431070655E-3</v>
      </c>
    </row>
    <row r="279" spans="2:18">
      <c r="B279" s="140">
        <v>44964</v>
      </c>
      <c r="C279" s="141">
        <v>17721.5</v>
      </c>
      <c r="D279" s="142">
        <f t="shared" si="8"/>
        <v>-2.4261514443683504E-3</v>
      </c>
      <c r="E279" s="50"/>
      <c r="I279" s="129">
        <v>44964</v>
      </c>
      <c r="J279" s="130">
        <v>1188.2854</v>
      </c>
      <c r="K279" s="131">
        <f t="shared" si="9"/>
        <v>-4.1690269065415445E-4</v>
      </c>
      <c r="P279" s="86">
        <v>249</v>
      </c>
      <c r="Q279" s="86">
        <v>1.6018078068756932E-3</v>
      </c>
      <c r="R279" s="86">
        <v>2.3248266951541363E-2</v>
      </c>
    </row>
    <row r="280" spans="2:18">
      <c r="B280" s="140">
        <v>44965</v>
      </c>
      <c r="C280" s="141">
        <v>17871.699218999998</v>
      </c>
      <c r="D280" s="142">
        <f t="shared" si="8"/>
        <v>8.4755364387889432E-3</v>
      </c>
      <c r="E280" s="50"/>
      <c r="I280" s="129">
        <v>44965</v>
      </c>
      <c r="J280" s="130">
        <v>1219.356567</v>
      </c>
      <c r="K280" s="131">
        <f t="shared" si="9"/>
        <v>2.6147899317790203E-2</v>
      </c>
      <c r="P280" s="86">
        <v>250</v>
      </c>
      <c r="Q280" s="86">
        <v>-7.799422963500606E-3</v>
      </c>
      <c r="R280" s="86">
        <v>2.6240019906238594E-2</v>
      </c>
    </row>
    <row r="281" spans="2:18">
      <c r="B281" s="140">
        <v>44966</v>
      </c>
      <c r="C281" s="141">
        <v>17893.449218999998</v>
      </c>
      <c r="D281" s="142">
        <f t="shared" si="8"/>
        <v>1.2170079483475669E-3</v>
      </c>
      <c r="E281" s="50"/>
      <c r="I281" s="129">
        <v>44966</v>
      </c>
      <c r="J281" s="130">
        <v>1223.7670900000001</v>
      </c>
      <c r="K281" s="131">
        <f t="shared" si="9"/>
        <v>3.6170904552154776E-3</v>
      </c>
      <c r="P281" s="86">
        <v>251</v>
      </c>
      <c r="Q281" s="86">
        <v>-2.0162079736697255E-3</v>
      </c>
      <c r="R281" s="86">
        <v>1.7990031572037407E-2</v>
      </c>
    </row>
    <row r="282" spans="2:18">
      <c r="B282" s="140">
        <v>44967</v>
      </c>
      <c r="C282" s="141">
        <v>17856.5</v>
      </c>
      <c r="D282" s="142">
        <f t="shared" si="8"/>
        <v>-2.0649578819473256E-3</v>
      </c>
      <c r="E282" s="50"/>
      <c r="I282" s="129">
        <v>44967</v>
      </c>
      <c r="J282" s="130">
        <v>1190.267456</v>
      </c>
      <c r="K282" s="131">
        <f t="shared" si="9"/>
        <v>-2.7374190950011586E-2</v>
      </c>
      <c r="P282" s="86">
        <v>252</v>
      </c>
      <c r="Q282" s="86">
        <v>-5.4936761978206187E-3</v>
      </c>
      <c r="R282" s="86">
        <v>2.7256963160248497E-2</v>
      </c>
    </row>
    <row r="283" spans="2:18">
      <c r="B283" s="140">
        <v>44970</v>
      </c>
      <c r="C283" s="141">
        <v>17770.900390999999</v>
      </c>
      <c r="D283" s="142">
        <f t="shared" si="8"/>
        <v>-4.7937506790244888E-3</v>
      </c>
      <c r="E283" s="50"/>
      <c r="I283" s="129">
        <v>44970</v>
      </c>
      <c r="J283" s="130">
        <v>1173.0720209999999</v>
      </c>
      <c r="K283" s="131">
        <f t="shared" si="9"/>
        <v>-1.4446698440186614E-2</v>
      </c>
      <c r="P283" s="86">
        <v>253</v>
      </c>
      <c r="Q283" s="86">
        <v>1.0453459221788383E-2</v>
      </c>
      <c r="R283" s="86">
        <v>-1.5526806629051208E-2</v>
      </c>
    </row>
    <row r="284" spans="2:18">
      <c r="B284" s="140">
        <v>44971</v>
      </c>
      <c r="C284" s="141">
        <v>17929.849609000001</v>
      </c>
      <c r="D284" s="142">
        <f t="shared" si="8"/>
        <v>8.9443536626034291E-3</v>
      </c>
      <c r="E284" s="50"/>
      <c r="I284" s="129">
        <v>44971</v>
      </c>
      <c r="J284" s="130">
        <v>1191.209106</v>
      </c>
      <c r="K284" s="131">
        <f t="shared" si="9"/>
        <v>1.5461186248853573E-2</v>
      </c>
      <c r="P284" s="86">
        <v>254</v>
      </c>
      <c r="Q284" s="86">
        <v>-7.7494238418970192E-3</v>
      </c>
      <c r="R284" s="86">
        <v>3.6616821470391745E-3</v>
      </c>
    </row>
    <row r="285" spans="2:18">
      <c r="B285" s="140">
        <v>44972</v>
      </c>
      <c r="C285" s="141">
        <v>18015.849609000001</v>
      </c>
      <c r="D285" s="142">
        <f t="shared" si="8"/>
        <v>4.7964707945364893E-3</v>
      </c>
      <c r="E285" s="50"/>
      <c r="I285" s="129">
        <v>44972</v>
      </c>
      <c r="J285" s="130">
        <v>1207.314697</v>
      </c>
      <c r="K285" s="131">
        <f t="shared" si="9"/>
        <v>1.3520372635566474E-2</v>
      </c>
      <c r="P285" s="86">
        <v>255</v>
      </c>
      <c r="Q285" s="86">
        <v>-6.5462927742642927E-4</v>
      </c>
      <c r="R285" s="86">
        <v>6.4096091559068414E-3</v>
      </c>
    </row>
    <row r="286" spans="2:18">
      <c r="B286" s="140">
        <v>44973</v>
      </c>
      <c r="C286" s="141">
        <v>18035.849609000001</v>
      </c>
      <c r="D286" s="142">
        <f t="shared" si="8"/>
        <v>1.1101336009159844E-3</v>
      </c>
      <c r="E286" s="50"/>
      <c r="I286" s="129">
        <v>44973</v>
      </c>
      <c r="J286" s="130">
        <v>1216.432861</v>
      </c>
      <c r="K286" s="131">
        <f t="shared" si="9"/>
        <v>7.5524335309238586E-3</v>
      </c>
      <c r="P286" s="86">
        <v>256</v>
      </c>
      <c r="Q286" s="86">
        <v>-1.4671694519717525E-3</v>
      </c>
      <c r="R286" s="86">
        <v>5.0012670075510295E-3</v>
      </c>
    </row>
    <row r="287" spans="2:18">
      <c r="B287" s="140">
        <v>44974</v>
      </c>
      <c r="C287" s="141">
        <v>17944.199218999998</v>
      </c>
      <c r="D287" s="142">
        <f t="shared" si="8"/>
        <v>-5.0815676548039302E-3</v>
      </c>
      <c r="E287" s="50"/>
      <c r="I287" s="129">
        <v>44974</v>
      </c>
      <c r="J287" s="130">
        <v>1216.13562</v>
      </c>
      <c r="K287" s="131">
        <f t="shared" si="9"/>
        <v>-2.4435462862753545E-4</v>
      </c>
      <c r="P287" s="86">
        <v>257</v>
      </c>
      <c r="Q287" s="86">
        <v>4.3327777550266856E-3</v>
      </c>
      <c r="R287" s="86">
        <v>-2.1102916034964905E-2</v>
      </c>
    </row>
    <row r="288" spans="2:18">
      <c r="B288" s="140">
        <v>44977</v>
      </c>
      <c r="C288" s="141">
        <v>17844.599609000001</v>
      </c>
      <c r="D288" s="142">
        <f t="shared" si="8"/>
        <v>-5.5505185148935288E-3</v>
      </c>
      <c r="E288" s="50"/>
      <c r="I288" s="129">
        <v>44977</v>
      </c>
      <c r="J288" s="130">
        <v>1204.8863530000001</v>
      </c>
      <c r="K288" s="131">
        <f t="shared" si="9"/>
        <v>-9.2500102907929933E-3</v>
      </c>
      <c r="P288" s="86">
        <v>258</v>
      </c>
      <c r="Q288" s="86">
        <v>-2.4916137085797549E-3</v>
      </c>
      <c r="R288" s="86">
        <v>7.4380354928668046E-3</v>
      </c>
    </row>
    <row r="289" spans="2:18">
      <c r="B289" s="140">
        <v>44978</v>
      </c>
      <c r="C289" s="141">
        <v>17826.699218999998</v>
      </c>
      <c r="D289" s="142">
        <f t="shared" si="8"/>
        <v>-1.0031264579886891E-3</v>
      </c>
      <c r="E289" s="50"/>
      <c r="I289" s="129">
        <v>44978</v>
      </c>
      <c r="J289" s="130">
        <v>1205.877563</v>
      </c>
      <c r="K289" s="131">
        <f t="shared" si="9"/>
        <v>8.2265850014147347E-4</v>
      </c>
      <c r="P289" s="86">
        <v>259</v>
      </c>
      <c r="Q289" s="86">
        <v>6.8832455161407062E-3</v>
      </c>
      <c r="R289" s="86">
        <v>-7.1378682421134199E-3</v>
      </c>
    </row>
    <row r="290" spans="2:18">
      <c r="B290" s="140">
        <v>44979</v>
      </c>
      <c r="C290" s="141">
        <v>17554.300781000002</v>
      </c>
      <c r="D290" s="142">
        <f t="shared" si="8"/>
        <v>-1.5280363159415942E-2</v>
      </c>
      <c r="E290" s="50"/>
      <c r="I290" s="129">
        <v>44979</v>
      </c>
      <c r="J290" s="130">
        <v>1190.9614260000001</v>
      </c>
      <c r="K290" s="131">
        <f t="shared" si="9"/>
        <v>-1.2369528596992342E-2</v>
      </c>
      <c r="P290" s="86">
        <v>260</v>
      </c>
      <c r="Q290" s="86">
        <v>4.863892844248611E-3</v>
      </c>
      <c r="R290" s="86">
        <v>1.6102020184564005E-2</v>
      </c>
    </row>
    <row r="291" spans="2:18">
      <c r="B291" s="140">
        <v>44980</v>
      </c>
      <c r="C291" s="141">
        <v>17511.25</v>
      </c>
      <c r="D291" s="142">
        <f t="shared" si="8"/>
        <v>-2.4524349637781071E-3</v>
      </c>
      <c r="E291" s="50"/>
      <c r="I291" s="129">
        <v>44980</v>
      </c>
      <c r="J291" s="130">
        <v>1189.3756100000001</v>
      </c>
      <c r="K291" s="131">
        <f t="shared" si="9"/>
        <v>-1.3315427060691574E-3</v>
      </c>
      <c r="P291" s="86">
        <v>261</v>
      </c>
      <c r="Q291" s="86">
        <v>-2.2830600945298418E-3</v>
      </c>
      <c r="R291" s="86">
        <v>4.4861894390281478E-3</v>
      </c>
    </row>
    <row r="292" spans="2:18">
      <c r="B292" s="140">
        <v>44981</v>
      </c>
      <c r="C292" s="141">
        <v>17465.800781000002</v>
      </c>
      <c r="D292" s="142">
        <f t="shared" si="8"/>
        <v>-2.5954297380254561E-3</v>
      </c>
      <c r="E292" s="50"/>
      <c r="I292" s="129">
        <v>44981</v>
      </c>
      <c r="J292" s="130">
        <v>1170.395996</v>
      </c>
      <c r="K292" s="131">
        <f t="shared" si="9"/>
        <v>-1.5957628389571637E-2</v>
      </c>
      <c r="P292" s="86">
        <v>262</v>
      </c>
      <c r="Q292" s="86">
        <v>-3.2466774529016349E-3</v>
      </c>
      <c r="R292" s="86">
        <v>-3.9766329374047567E-2</v>
      </c>
    </row>
    <row r="293" spans="2:18">
      <c r="B293" s="140">
        <v>44984</v>
      </c>
      <c r="C293" s="141">
        <v>17392.699218999998</v>
      </c>
      <c r="D293" s="142">
        <f t="shared" si="8"/>
        <v>-4.1854114172380965E-3</v>
      </c>
      <c r="E293" s="50"/>
      <c r="I293" s="129">
        <v>44984</v>
      </c>
      <c r="J293" s="130">
        <v>1158.9486079999999</v>
      </c>
      <c r="K293" s="131">
        <f t="shared" si="9"/>
        <v>-9.780781922634027E-3</v>
      </c>
      <c r="P293" s="86">
        <v>263</v>
      </c>
      <c r="Q293" s="86">
        <v>3.9760221450507961E-3</v>
      </c>
      <c r="R293" s="86">
        <v>3.6245922490495026E-2</v>
      </c>
    </row>
    <row r="294" spans="2:18">
      <c r="B294" s="140">
        <v>44985</v>
      </c>
      <c r="C294" s="141">
        <v>17303.949218999998</v>
      </c>
      <c r="D294" s="142">
        <f t="shared" si="8"/>
        <v>-5.1027157362123765E-3</v>
      </c>
      <c r="E294" s="50"/>
      <c r="I294" s="129">
        <v>44985</v>
      </c>
      <c r="J294" s="130">
        <v>1186.4023440000001</v>
      </c>
      <c r="K294" s="131">
        <f t="shared" si="9"/>
        <v>2.3688484381871888E-2</v>
      </c>
      <c r="P294" s="86">
        <v>264</v>
      </c>
      <c r="Q294" s="86">
        <v>1.2030098121062336E-4</v>
      </c>
      <c r="R294" s="86">
        <v>-5.6202430954324341E-3</v>
      </c>
    </row>
    <row r="295" spans="2:18">
      <c r="B295" s="140">
        <v>44986</v>
      </c>
      <c r="C295" s="141">
        <v>17450.900390999999</v>
      </c>
      <c r="D295" s="142">
        <f t="shared" si="8"/>
        <v>8.4923487777371857E-3</v>
      </c>
      <c r="E295" s="50"/>
      <c r="I295" s="129">
        <v>44986</v>
      </c>
      <c r="J295" s="130">
        <v>1203.7467039999999</v>
      </c>
      <c r="K295" s="131">
        <f t="shared" si="9"/>
        <v>1.4619290064382933E-2</v>
      </c>
      <c r="P295" s="86">
        <v>265</v>
      </c>
      <c r="Q295" s="86">
        <v>-9.3962218860737107E-3</v>
      </c>
      <c r="R295" s="86">
        <v>1.0796299485325289E-3</v>
      </c>
    </row>
    <row r="296" spans="2:18">
      <c r="B296" s="140">
        <v>44987</v>
      </c>
      <c r="C296" s="141">
        <v>17321.900390999999</v>
      </c>
      <c r="D296" s="142">
        <f t="shared" si="8"/>
        <v>-7.3921687196455222E-3</v>
      </c>
      <c r="E296" s="50"/>
      <c r="I296" s="129">
        <v>44987</v>
      </c>
      <c r="J296" s="130">
        <v>1187.3935550000001</v>
      </c>
      <c r="K296" s="131">
        <f t="shared" si="9"/>
        <v>-1.3585207706620483E-2</v>
      </c>
      <c r="P296" s="86">
        <v>266</v>
      </c>
      <c r="Q296" s="86">
        <v>-1.2127267374550069E-2</v>
      </c>
      <c r="R296" s="86">
        <v>4.249242721151604E-3</v>
      </c>
    </row>
    <row r="297" spans="2:18">
      <c r="B297" s="140">
        <v>44988</v>
      </c>
      <c r="C297" s="141">
        <v>17594.349609000001</v>
      </c>
      <c r="D297" s="142">
        <f t="shared" si="8"/>
        <v>1.5728598586189711E-2</v>
      </c>
      <c r="E297" s="50"/>
      <c r="I297" s="129">
        <v>44988</v>
      </c>
      <c r="J297" s="130">
        <v>1194.3312989999999</v>
      </c>
      <c r="K297" s="131">
        <f t="shared" si="9"/>
        <v>5.8428344762237131E-3</v>
      </c>
      <c r="P297" s="86">
        <v>267</v>
      </c>
      <c r="Q297" s="86">
        <v>2.0628060875391252E-3</v>
      </c>
      <c r="R297" s="86">
        <v>2.5052256040763899E-3</v>
      </c>
    </row>
    <row r="298" spans="2:18">
      <c r="B298" s="140">
        <v>44991</v>
      </c>
      <c r="C298" s="141">
        <v>17711.449218999998</v>
      </c>
      <c r="D298" s="142">
        <f t="shared" si="8"/>
        <v>6.6555236540313924E-3</v>
      </c>
      <c r="E298" s="50"/>
      <c r="I298" s="129">
        <v>44991</v>
      </c>
      <c r="J298" s="130">
        <v>1214.10376</v>
      </c>
      <c r="K298" s="131">
        <f t="shared" si="9"/>
        <v>1.6555256499227039E-2</v>
      </c>
      <c r="P298" s="86">
        <v>268</v>
      </c>
      <c r="Q298" s="86">
        <v>7.0123152256583812E-4</v>
      </c>
      <c r="R298" s="86">
        <v>3.7185228270660564E-3</v>
      </c>
    </row>
    <row r="299" spans="2:18">
      <c r="B299" s="140">
        <v>44993</v>
      </c>
      <c r="C299" s="141">
        <v>17754.400390999999</v>
      </c>
      <c r="D299" s="142">
        <f t="shared" si="8"/>
        <v>2.4250512461693411E-3</v>
      </c>
      <c r="E299" s="50"/>
      <c r="I299" s="129">
        <v>44993</v>
      </c>
      <c r="J299" s="130">
        <v>1211.0313719999999</v>
      </c>
      <c r="K299" s="131">
        <f t="shared" si="9"/>
        <v>-2.5305810765301035E-3</v>
      </c>
      <c r="P299" s="86">
        <v>269</v>
      </c>
      <c r="Q299" s="86">
        <v>-1.8488078239889522E-3</v>
      </c>
      <c r="R299" s="86">
        <v>1.559950561631092E-2</v>
      </c>
    </row>
    <row r="300" spans="2:18">
      <c r="B300" s="140">
        <v>44994</v>
      </c>
      <c r="C300" s="141">
        <v>17589.599609000001</v>
      </c>
      <c r="D300" s="142">
        <f t="shared" si="8"/>
        <v>-9.282249942022187E-3</v>
      </c>
      <c r="E300" s="50"/>
      <c r="I300" s="129">
        <v>44994</v>
      </c>
      <c r="J300" s="130">
        <v>1199.4351810000001</v>
      </c>
      <c r="K300" s="131">
        <f t="shared" si="9"/>
        <v>-9.575467050741162E-3</v>
      </c>
      <c r="P300" s="86">
        <v>270</v>
      </c>
      <c r="Q300" s="86">
        <v>-1.2459870197510789E-4</v>
      </c>
      <c r="R300" s="86">
        <v>7.9244987693791148E-4</v>
      </c>
    </row>
    <row r="301" spans="2:18">
      <c r="B301" s="140">
        <v>44995</v>
      </c>
      <c r="C301" s="141">
        <v>17412.900390999999</v>
      </c>
      <c r="D301" s="142">
        <f t="shared" si="8"/>
        <v>-1.0045664593160527E-2</v>
      </c>
      <c r="E301" s="50"/>
      <c r="I301" s="129">
        <v>44995</v>
      </c>
      <c r="J301" s="130">
        <v>1204.9854740000001</v>
      </c>
      <c r="K301" s="131">
        <f t="shared" si="9"/>
        <v>4.6274222133225974E-3</v>
      </c>
      <c r="P301" s="86">
        <v>271</v>
      </c>
      <c r="Q301" s="86">
        <v>1.0681736963188625E-2</v>
      </c>
      <c r="R301" s="86">
        <v>-1.2266619221712925E-2</v>
      </c>
    </row>
    <row r="302" spans="2:18">
      <c r="B302" s="140">
        <v>44998</v>
      </c>
      <c r="C302" s="141">
        <v>17154.300781000002</v>
      </c>
      <c r="D302" s="142">
        <f t="shared" si="8"/>
        <v>-1.485103596719917E-2</v>
      </c>
      <c r="E302" s="50"/>
      <c r="I302" s="129">
        <v>44998</v>
      </c>
      <c r="J302" s="130">
        <v>1194.727539</v>
      </c>
      <c r="K302" s="131">
        <f t="shared" si="9"/>
        <v>-8.5129117498391419E-3</v>
      </c>
      <c r="P302" s="86">
        <v>272</v>
      </c>
      <c r="Q302" s="86">
        <v>-3.6898637665395096E-3</v>
      </c>
      <c r="R302" s="86">
        <v>5.8202864754797901E-3</v>
      </c>
    </row>
    <row r="303" spans="2:18">
      <c r="B303" s="140">
        <v>44999</v>
      </c>
      <c r="C303" s="141">
        <v>17043.300781000002</v>
      </c>
      <c r="D303" s="142">
        <f t="shared" si="8"/>
        <v>-6.4706805259555035E-3</v>
      </c>
      <c r="E303" s="50"/>
      <c r="I303" s="129">
        <v>44999</v>
      </c>
      <c r="J303" s="130">
        <v>1166.3325199999999</v>
      </c>
      <c r="K303" s="131">
        <f t="shared" si="9"/>
        <v>-2.3766941058182178E-2</v>
      </c>
      <c r="P303" s="86">
        <v>273</v>
      </c>
      <c r="Q303" s="86">
        <v>-1.7193402194277995E-3</v>
      </c>
      <c r="R303" s="86">
        <v>1.3024375287736451E-3</v>
      </c>
    </row>
    <row r="304" spans="2:18">
      <c r="B304" s="140">
        <v>45000</v>
      </c>
      <c r="C304" s="141">
        <v>16972.150390999999</v>
      </c>
      <c r="D304" s="142">
        <f t="shared" si="8"/>
        <v>-4.1746837020749817E-3</v>
      </c>
      <c r="E304" s="50"/>
      <c r="I304" s="129">
        <v>45000</v>
      </c>
      <c r="J304" s="130">
        <v>1175.847168</v>
      </c>
      <c r="K304" s="131">
        <f t="shared" si="9"/>
        <v>8.1577490439862545E-3</v>
      </c>
      <c r="P304" s="86">
        <v>274</v>
      </c>
      <c r="Q304" s="86">
        <v>6.5941987197400348E-3</v>
      </c>
      <c r="R304" s="86">
        <v>1.9553700598050169E-2</v>
      </c>
    </row>
    <row r="305" spans="2:18">
      <c r="B305" s="140">
        <v>45001</v>
      </c>
      <c r="C305" s="141">
        <v>16985.599609000001</v>
      </c>
      <c r="D305" s="142">
        <f t="shared" si="8"/>
        <v>7.9242863692354643E-4</v>
      </c>
      <c r="E305" s="50"/>
      <c r="I305" s="129">
        <v>45001</v>
      </c>
      <c r="J305" s="130">
        <v>1174.509033</v>
      </c>
      <c r="K305" s="131">
        <f t="shared" si="9"/>
        <v>-1.1380177938226455E-3</v>
      </c>
      <c r="P305" s="86">
        <v>275</v>
      </c>
      <c r="Q305" s="86">
        <v>1.0589036449679115E-3</v>
      </c>
      <c r="R305" s="86">
        <v>2.5581868102475661E-3</v>
      </c>
    </row>
    <row r="306" spans="2:18">
      <c r="B306" s="140">
        <v>45002</v>
      </c>
      <c r="C306" s="141">
        <v>17100.050781000002</v>
      </c>
      <c r="D306" s="142">
        <f t="shared" si="8"/>
        <v>6.7381296294867204E-3</v>
      </c>
      <c r="E306" s="50"/>
      <c r="I306" s="129">
        <v>45002</v>
      </c>
      <c r="J306" s="130">
        <v>1182.586548</v>
      </c>
      <c r="K306" s="131">
        <f t="shared" si="9"/>
        <v>6.8773545141393123E-3</v>
      </c>
      <c r="P306" s="86">
        <v>276</v>
      </c>
      <c r="Q306" s="86">
        <v>-1.4438969323013035E-3</v>
      </c>
      <c r="R306" s="86">
        <v>-2.5930294017710284E-2</v>
      </c>
    </row>
    <row r="307" spans="2:18">
      <c r="B307" s="140">
        <v>45005</v>
      </c>
      <c r="C307" s="141">
        <v>16988.400390999999</v>
      </c>
      <c r="D307" s="142">
        <f t="shared" si="8"/>
        <v>-6.5292431835382693E-3</v>
      </c>
      <c r="E307" s="50"/>
      <c r="I307" s="129">
        <v>45005</v>
      </c>
      <c r="J307" s="130">
        <v>1162.2687989999999</v>
      </c>
      <c r="K307" s="131">
        <f t="shared" si="9"/>
        <v>-1.7180771280006179E-2</v>
      </c>
      <c r="P307" s="86">
        <v>277</v>
      </c>
      <c r="Q307" s="86">
        <v>-3.5248522319362E-3</v>
      </c>
      <c r="R307" s="86">
        <v>-1.0921846208250414E-2</v>
      </c>
    </row>
    <row r="308" spans="2:18">
      <c r="B308" s="140">
        <v>45006</v>
      </c>
      <c r="C308" s="141">
        <v>17107.5</v>
      </c>
      <c r="D308" s="142">
        <f t="shared" si="8"/>
        <v>7.0106429245155163E-3</v>
      </c>
      <c r="E308" s="50"/>
      <c r="I308" s="129">
        <v>45006</v>
      </c>
      <c r="J308" s="130">
        <v>1191.6552730000001</v>
      </c>
      <c r="K308" s="131">
        <f t="shared" si="9"/>
        <v>2.5283715802475168E-2</v>
      </c>
      <c r="P308" s="86">
        <v>278</v>
      </c>
      <c r="Q308" s="86">
        <v>6.9517149399168964E-3</v>
      </c>
      <c r="R308" s="86">
        <v>8.5094713089366759E-3</v>
      </c>
    </row>
    <row r="309" spans="2:18">
      <c r="B309" s="140">
        <v>45007</v>
      </c>
      <c r="C309" s="141">
        <v>17151.900390999999</v>
      </c>
      <c r="D309" s="142">
        <f t="shared" si="8"/>
        <v>2.5953757708606878E-3</v>
      </c>
      <c r="E309" s="50"/>
      <c r="I309" s="129">
        <v>45007</v>
      </c>
      <c r="J309" s="130">
        <v>1182.091064</v>
      </c>
      <c r="K309" s="131">
        <f t="shared" si="9"/>
        <v>-8.0259863877597416E-3</v>
      </c>
      <c r="P309" s="86">
        <v>279</v>
      </c>
      <c r="Q309" s="86">
        <v>3.7885730385552245E-3</v>
      </c>
      <c r="R309" s="86">
        <v>9.7317995970112488E-3</v>
      </c>
    </row>
    <row r="310" spans="2:18">
      <c r="B310" s="140">
        <v>45008</v>
      </c>
      <c r="C310" s="141">
        <v>17076.900390999999</v>
      </c>
      <c r="D310" s="142">
        <f t="shared" si="8"/>
        <v>-4.3726933045480044E-3</v>
      </c>
      <c r="E310" s="50"/>
      <c r="I310" s="129">
        <v>45008</v>
      </c>
      <c r="J310" s="130">
        <v>1180.307129</v>
      </c>
      <c r="K310" s="131">
        <f t="shared" si="9"/>
        <v>-1.5091350018021357E-3</v>
      </c>
      <c r="P310" s="86">
        <v>280</v>
      </c>
      <c r="Q310" s="86">
        <v>9.7740213267977129E-4</v>
      </c>
      <c r="R310" s="86">
        <v>6.5750313982440873E-3</v>
      </c>
    </row>
    <row r="311" spans="2:18">
      <c r="B311" s="140">
        <v>45009</v>
      </c>
      <c r="C311" s="141">
        <v>16945.050781000002</v>
      </c>
      <c r="D311" s="142">
        <f t="shared" si="8"/>
        <v>-7.7209333650201471E-3</v>
      </c>
      <c r="E311" s="50"/>
      <c r="I311" s="129">
        <v>45009</v>
      </c>
      <c r="J311" s="130">
        <v>1170.9410399999999</v>
      </c>
      <c r="K311" s="131">
        <f t="shared" si="9"/>
        <v>-7.9352981693293669E-3</v>
      </c>
      <c r="P311" s="86">
        <v>281</v>
      </c>
      <c r="Q311" s="86">
        <v>-3.7443391280151698E-3</v>
      </c>
      <c r="R311" s="86">
        <v>3.4999844993876344E-3</v>
      </c>
    </row>
    <row r="312" spans="2:18">
      <c r="B312" s="140">
        <v>45012</v>
      </c>
      <c r="C312" s="141">
        <v>16985.699218999998</v>
      </c>
      <c r="D312" s="142">
        <f t="shared" si="8"/>
        <v>2.3988383702912507E-3</v>
      </c>
      <c r="E312" s="50"/>
      <c r="I312" s="129">
        <v>45012</v>
      </c>
      <c r="J312" s="130">
        <v>1157.5117190000001</v>
      </c>
      <c r="K312" s="131">
        <f t="shared" si="9"/>
        <v>-1.1468827670434924E-2</v>
      </c>
      <c r="P312" s="86">
        <v>282</v>
      </c>
      <c r="Q312" s="86">
        <v>-4.101957258133752E-3</v>
      </c>
      <c r="R312" s="86">
        <v>-5.1480530326592413E-3</v>
      </c>
    </row>
    <row r="313" spans="2:18">
      <c r="B313" s="140">
        <v>45013</v>
      </c>
      <c r="C313" s="141">
        <v>16951.699218999998</v>
      </c>
      <c r="D313" s="142">
        <f t="shared" si="8"/>
        <v>-2.0016838613254148E-3</v>
      </c>
      <c r="E313" s="50"/>
      <c r="I313" s="129">
        <v>45013</v>
      </c>
      <c r="J313" s="130">
        <v>1133.8242190000001</v>
      </c>
      <c r="K313" s="131">
        <f t="shared" si="9"/>
        <v>-2.0464155663550563E-2</v>
      </c>
      <c r="P313" s="86">
        <v>283</v>
      </c>
      <c r="Q313" s="86">
        <v>-6.3415288307472123E-4</v>
      </c>
      <c r="R313" s="86">
        <v>1.4568113832161946E-3</v>
      </c>
    </row>
    <row r="314" spans="2:18">
      <c r="B314" s="140">
        <v>45014</v>
      </c>
      <c r="C314" s="141">
        <v>17080.699218999998</v>
      </c>
      <c r="D314" s="142">
        <f t="shared" si="8"/>
        <v>7.6098565892092247E-3</v>
      </c>
      <c r="E314" s="50"/>
      <c r="I314" s="129">
        <v>45014</v>
      </c>
      <c r="J314" s="130">
        <v>1169.107422</v>
      </c>
      <c r="K314" s="131">
        <f t="shared" si="9"/>
        <v>3.1118759335656734E-2</v>
      </c>
      <c r="P314" s="86">
        <v>284</v>
      </c>
      <c r="Q314" s="86">
        <v>-1.1521858028661397E-2</v>
      </c>
      <c r="R314" s="86">
        <v>-8.4767056833094483E-4</v>
      </c>
    </row>
    <row r="315" spans="2:18">
      <c r="B315" s="140">
        <v>45016</v>
      </c>
      <c r="C315" s="141">
        <v>17359.75</v>
      </c>
      <c r="D315" s="142">
        <f t="shared" si="8"/>
        <v>1.6337198929748439E-2</v>
      </c>
      <c r="E315" s="50"/>
      <c r="I315" s="129">
        <v>45016</v>
      </c>
      <c r="J315" s="130">
        <v>1177.928345</v>
      </c>
      <c r="K315" s="131">
        <f t="shared" si="9"/>
        <v>7.545006416014347E-3</v>
      </c>
      <c r="P315" s="86">
        <v>285</v>
      </c>
      <c r="Q315" s="86">
        <v>-1.7393838185854101E-3</v>
      </c>
      <c r="R315" s="86">
        <v>4.0784111251625276E-4</v>
      </c>
    </row>
    <row r="316" spans="2:18">
      <c r="B316" s="140">
        <v>45019</v>
      </c>
      <c r="C316" s="141">
        <v>17398.050781000002</v>
      </c>
      <c r="D316" s="142">
        <f t="shared" si="8"/>
        <v>2.2062979593601138E-3</v>
      </c>
      <c r="E316" s="50"/>
      <c r="I316" s="129">
        <v>45019</v>
      </c>
      <c r="J316" s="130">
        <v>1178.3743899999999</v>
      </c>
      <c r="K316" s="131">
        <f t="shared" si="9"/>
        <v>3.7866904374383889E-4</v>
      </c>
      <c r="P316" s="86">
        <v>286</v>
      </c>
      <c r="Q316" s="86">
        <v>-1.8484304759970108E-3</v>
      </c>
      <c r="R316" s="86">
        <v>-1.4109197913574626E-2</v>
      </c>
    </row>
    <row r="317" spans="2:18">
      <c r="B317" s="140">
        <v>45021</v>
      </c>
      <c r="C317" s="141">
        <v>17557.050781000002</v>
      </c>
      <c r="D317" s="142">
        <f t="shared" si="8"/>
        <v>9.1389548174925506E-3</v>
      </c>
      <c r="E317" s="50"/>
      <c r="I317" s="129">
        <v>45021</v>
      </c>
      <c r="J317" s="130">
        <v>1190.2181399999999</v>
      </c>
      <c r="K317" s="131">
        <f t="shared" si="9"/>
        <v>1.0050922780153088E-2</v>
      </c>
      <c r="P317" s="86">
        <v>287</v>
      </c>
      <c r="Q317" s="86">
        <v>-3.0609376349223405E-3</v>
      </c>
      <c r="R317" s="86">
        <v>-6.7198442877116869E-3</v>
      </c>
    </row>
    <row r="318" spans="2:18">
      <c r="B318" s="140">
        <v>45022</v>
      </c>
      <c r="C318" s="141">
        <v>17599.150390999999</v>
      </c>
      <c r="D318" s="142">
        <f t="shared" si="8"/>
        <v>2.397874821069442E-3</v>
      </c>
      <c r="E318" s="50"/>
      <c r="I318" s="129">
        <v>45022</v>
      </c>
      <c r="J318" s="130">
        <v>1183.9248050000001</v>
      </c>
      <c r="K318" s="131">
        <f t="shared" si="9"/>
        <v>-5.2875475414950763E-3</v>
      </c>
      <c r="P318" s="86">
        <v>288</v>
      </c>
      <c r="Q318" s="86">
        <v>-3.7604664837202839E-3</v>
      </c>
      <c r="R318" s="86">
        <v>2.7448950865592171E-2</v>
      </c>
    </row>
    <row r="319" spans="2:18">
      <c r="B319" s="140">
        <v>45026</v>
      </c>
      <c r="C319" s="141">
        <v>17624.050781000002</v>
      </c>
      <c r="D319" s="142">
        <f t="shared" si="8"/>
        <v>1.4148631863920139E-3</v>
      </c>
      <c r="E319" s="50"/>
      <c r="I319" s="129">
        <v>45026</v>
      </c>
      <c r="J319" s="130">
        <v>1159.3452150000001</v>
      </c>
      <c r="K319" s="131">
        <f t="shared" si="9"/>
        <v>-2.0761107374551589E-2</v>
      </c>
      <c r="P319" s="86">
        <v>289</v>
      </c>
      <c r="Q319" s="86">
        <v>6.6070196733393977E-3</v>
      </c>
      <c r="R319" s="86">
        <v>8.0122703910435362E-3</v>
      </c>
    </row>
    <row r="320" spans="2:18">
      <c r="B320" s="140">
        <v>45027</v>
      </c>
      <c r="C320" s="141">
        <v>17722.300781000002</v>
      </c>
      <c r="D320" s="142">
        <f t="shared" si="8"/>
        <v>5.5747683220432271E-3</v>
      </c>
      <c r="E320" s="50"/>
      <c r="I320" s="129">
        <v>45027</v>
      </c>
      <c r="J320" s="130">
        <v>1162.566284</v>
      </c>
      <c r="K320" s="131">
        <f t="shared" si="9"/>
        <v>2.7783519165168963E-3</v>
      </c>
      <c r="P320" s="86">
        <v>290</v>
      </c>
      <c r="Q320" s="86">
        <v>-5.5063847975780318E-3</v>
      </c>
      <c r="R320" s="86">
        <v>-8.0788229090424518E-3</v>
      </c>
    </row>
    <row r="321" spans="2:18">
      <c r="B321" s="140">
        <v>45028</v>
      </c>
      <c r="C321" s="141">
        <v>17812.400390999999</v>
      </c>
      <c r="D321" s="142">
        <f t="shared" si="8"/>
        <v>5.0839679967847554E-3</v>
      </c>
      <c r="E321" s="50"/>
      <c r="I321" s="129">
        <v>45028</v>
      </c>
      <c r="J321" s="130">
        <v>1171.337524</v>
      </c>
      <c r="K321" s="131">
        <f t="shared" si="9"/>
        <v>7.5447224994528005E-3</v>
      </c>
      <c r="P321" s="86">
        <v>291</v>
      </c>
      <c r="Q321" s="86">
        <v>1.2125325205555107E-2</v>
      </c>
      <c r="R321" s="86">
        <v>-6.2824907293313938E-3</v>
      </c>
    </row>
    <row r="322" spans="2:18">
      <c r="B322" s="140">
        <v>45029</v>
      </c>
      <c r="C322" s="141">
        <v>17828</v>
      </c>
      <c r="D322" s="142">
        <f t="shared" si="8"/>
        <v>8.7577242020018457E-4</v>
      </c>
      <c r="E322" s="50"/>
      <c r="I322" s="129">
        <v>45029</v>
      </c>
      <c r="J322" s="130">
        <v>1175.6489260000001</v>
      </c>
      <c r="K322" s="131">
        <f t="shared" si="9"/>
        <v>3.680751202503134E-3</v>
      </c>
      <c r="P322" s="86">
        <v>292</v>
      </c>
      <c r="Q322" s="86">
        <v>5.2062717016457417E-3</v>
      </c>
      <c r="R322" s="86">
        <v>1.1348984797581297E-2</v>
      </c>
    </row>
    <row r="323" spans="2:18">
      <c r="B323" s="140">
        <v>45033</v>
      </c>
      <c r="C323" s="141">
        <v>17706.849609000001</v>
      </c>
      <c r="D323" s="142">
        <f t="shared" si="8"/>
        <v>-6.7955121718644386E-3</v>
      </c>
      <c r="E323" s="50"/>
      <c r="I323" s="129">
        <v>45033</v>
      </c>
      <c r="J323" s="130">
        <v>1204.3908690000001</v>
      </c>
      <c r="K323" s="131">
        <f t="shared" si="9"/>
        <v>2.4447726157323935E-2</v>
      </c>
      <c r="P323" s="86">
        <v>293</v>
      </c>
      <c r="Q323" s="86">
        <v>1.9801476857332213E-3</v>
      </c>
      <c r="R323" s="86">
        <v>-4.5107287622633248E-3</v>
      </c>
    </row>
    <row r="324" spans="2:18">
      <c r="B324" s="140">
        <v>45034</v>
      </c>
      <c r="C324" s="141">
        <v>17660.150390999999</v>
      </c>
      <c r="D324" s="142">
        <f t="shared" si="8"/>
        <v>-2.637353285943389E-3</v>
      </c>
      <c r="E324" s="50"/>
      <c r="I324" s="129">
        <v>45034</v>
      </c>
      <c r="J324" s="130">
        <v>1199.237183</v>
      </c>
      <c r="K324" s="131">
        <f t="shared" si="9"/>
        <v>-4.2790809301628029E-3</v>
      </c>
      <c r="P324" s="86">
        <v>294</v>
      </c>
      <c r="Q324" s="86">
        <v>-6.9477454390521609E-3</v>
      </c>
      <c r="R324" s="86">
        <v>-2.6277216116890011E-3</v>
      </c>
    </row>
    <row r="325" spans="2:18">
      <c r="B325" s="140">
        <v>45035</v>
      </c>
      <c r="C325" s="141">
        <v>17618.75</v>
      </c>
      <c r="D325" s="142">
        <f t="shared" si="8"/>
        <v>-2.3442830374251948E-3</v>
      </c>
      <c r="E325" s="50"/>
      <c r="I325" s="129">
        <v>45035</v>
      </c>
      <c r="J325" s="130">
        <v>1204.7873540000001</v>
      </c>
      <c r="K325" s="131">
        <f t="shared" si="9"/>
        <v>4.6280844846019855E-3</v>
      </c>
      <c r="P325" s="86">
        <v>295</v>
      </c>
      <c r="Q325" s="86">
        <v>-7.529919272773378E-3</v>
      </c>
      <c r="R325" s="86">
        <v>1.2157341486095975E-2</v>
      </c>
    </row>
    <row r="326" spans="2:18">
      <c r="B326" s="140">
        <v>45036</v>
      </c>
      <c r="C326" s="141">
        <v>17624.449218999998</v>
      </c>
      <c r="D326" s="142">
        <f t="shared" si="8"/>
        <v>3.234746505852155E-4</v>
      </c>
      <c r="E326" s="50"/>
      <c r="I326" s="129">
        <v>45036</v>
      </c>
      <c r="J326" s="130">
        <v>1195.1241460000001</v>
      </c>
      <c r="K326" s="131">
        <f t="shared" si="9"/>
        <v>-8.0206751572526377E-3</v>
      </c>
      <c r="P326" s="86">
        <v>296</v>
      </c>
      <c r="Q326" s="86">
        <v>-1.1194456586940427E-2</v>
      </c>
      <c r="R326" s="86">
        <v>2.6815448371012851E-3</v>
      </c>
    </row>
    <row r="327" spans="2:18">
      <c r="B327" s="140">
        <v>45037</v>
      </c>
      <c r="C327" s="141">
        <v>17624.050781000002</v>
      </c>
      <c r="D327" s="142">
        <f t="shared" si="8"/>
        <v>-2.2607117819432117E-5</v>
      </c>
      <c r="E327" s="50"/>
      <c r="I327" s="129">
        <v>45037</v>
      </c>
      <c r="J327" s="130">
        <v>1197.8991699999999</v>
      </c>
      <c r="K327" s="131">
        <f t="shared" si="9"/>
        <v>2.3219545929915493E-3</v>
      </c>
      <c r="P327" s="86">
        <v>297</v>
      </c>
      <c r="Q327" s="86">
        <v>-4.8036653597870174E-3</v>
      </c>
      <c r="R327" s="86">
        <v>-1.8963275698395159E-2</v>
      </c>
    </row>
    <row r="328" spans="2:18">
      <c r="B328" s="140">
        <v>45040</v>
      </c>
      <c r="C328" s="141">
        <v>17743.400390999999</v>
      </c>
      <c r="D328" s="142">
        <f t="shared" ref="D328:D391" si="10">(C328-C327)/C327</f>
        <v>6.771973792124168E-3</v>
      </c>
      <c r="E328" s="50"/>
      <c r="I328" s="129">
        <v>45040</v>
      </c>
      <c r="J328" s="130">
        <v>1191.209106</v>
      </c>
      <c r="K328" s="131">
        <f t="shared" ref="K328:K391" si="11">(J328-J327)/J327</f>
        <v>-5.5848306498116141E-3</v>
      </c>
      <c r="P328" s="86">
        <v>298</v>
      </c>
      <c r="Q328" s="86">
        <v>-3.0527567661713059E-3</v>
      </c>
      <c r="R328" s="86">
        <v>1.121050581015756E-2</v>
      </c>
    </row>
    <row r="329" spans="2:18">
      <c r="B329" s="140">
        <v>45041</v>
      </c>
      <c r="C329" s="141">
        <v>17769.25</v>
      </c>
      <c r="D329" s="142">
        <f t="shared" si="10"/>
        <v>1.4568576727329279E-3</v>
      </c>
      <c r="E329" s="50"/>
      <c r="I329" s="129">
        <v>45041</v>
      </c>
      <c r="J329" s="130">
        <v>1205.0848390000001</v>
      </c>
      <c r="K329" s="131">
        <f t="shared" si="11"/>
        <v>1.1648444366408396E-2</v>
      </c>
      <c r="P329" s="86">
        <v>299</v>
      </c>
      <c r="Q329" s="86">
        <v>7.3512289870915966E-4</v>
      </c>
      <c r="R329" s="86">
        <v>-1.873140692531805E-3</v>
      </c>
    </row>
    <row r="330" spans="2:18">
      <c r="B330" s="140">
        <v>45042</v>
      </c>
      <c r="C330" s="141">
        <v>17813.599609000001</v>
      </c>
      <c r="D330" s="142">
        <f t="shared" si="10"/>
        <v>2.4958627404083338E-3</v>
      </c>
      <c r="E330" s="50"/>
      <c r="I330" s="129">
        <v>45042</v>
      </c>
      <c r="J330" s="130">
        <v>1209.0491939999999</v>
      </c>
      <c r="K330" s="131">
        <f t="shared" si="11"/>
        <v>3.2896895485711448E-3</v>
      </c>
      <c r="P330" s="86">
        <v>300</v>
      </c>
      <c r="Q330" s="86">
        <v>5.2692663498980384E-3</v>
      </c>
      <c r="R330" s="86">
        <v>1.6080881642412739E-3</v>
      </c>
    </row>
    <row r="331" spans="2:18">
      <c r="B331" s="140">
        <v>45043</v>
      </c>
      <c r="C331" s="141">
        <v>17915.050781000002</v>
      </c>
      <c r="D331" s="142">
        <f t="shared" si="10"/>
        <v>5.6951528173308985E-3</v>
      </c>
      <c r="E331" s="50"/>
      <c r="I331" s="129">
        <v>45043</v>
      </c>
      <c r="J331" s="130">
        <v>1210.3374020000001</v>
      </c>
      <c r="K331" s="131">
        <f t="shared" si="11"/>
        <v>1.0654719480340416E-3</v>
      </c>
      <c r="P331" s="86">
        <v>301</v>
      </c>
      <c r="Q331" s="86">
        <v>-4.8483247684413108E-3</v>
      </c>
      <c r="R331" s="86">
        <v>-1.2332446511564867E-2</v>
      </c>
    </row>
    <row r="332" spans="2:18">
      <c r="B332" s="140">
        <v>45044</v>
      </c>
      <c r="C332" s="141">
        <v>18065</v>
      </c>
      <c r="D332" s="142">
        <f t="shared" si="10"/>
        <v>8.3700136177692844E-3</v>
      </c>
      <c r="E332" s="50"/>
      <c r="I332" s="129">
        <v>45044</v>
      </c>
      <c r="J332" s="130">
        <v>1219.2574460000001</v>
      </c>
      <c r="K332" s="131">
        <f t="shared" si="11"/>
        <v>7.3698821380386963E-3</v>
      </c>
      <c r="P332" s="86">
        <v>302</v>
      </c>
      <c r="Q332" s="86">
        <v>5.4770827829077389E-3</v>
      </c>
      <c r="R332" s="86">
        <v>1.9806633019567428E-2</v>
      </c>
    </row>
    <row r="333" spans="2:18">
      <c r="B333" s="140">
        <v>45048</v>
      </c>
      <c r="C333" s="141">
        <v>18147.650390999999</v>
      </c>
      <c r="D333" s="142">
        <f t="shared" si="10"/>
        <v>4.575166952670867E-3</v>
      </c>
      <c r="E333" s="50"/>
      <c r="I333" s="129">
        <v>45048</v>
      </c>
      <c r="J333" s="130">
        <v>1214.6983640000001</v>
      </c>
      <c r="K333" s="131">
        <f t="shared" si="11"/>
        <v>-3.7392283434125439E-3</v>
      </c>
      <c r="P333" s="86">
        <v>303</v>
      </c>
      <c r="Q333" s="86">
        <v>2.1100357896207331E-3</v>
      </c>
      <c r="R333" s="86">
        <v>-1.0136022177380475E-2</v>
      </c>
    </row>
    <row r="334" spans="2:18">
      <c r="B334" s="140">
        <v>45049</v>
      </c>
      <c r="C334" s="141">
        <v>18089.849609000001</v>
      </c>
      <c r="D334" s="142">
        <f t="shared" si="10"/>
        <v>-3.1850284061381131E-3</v>
      </c>
      <c r="E334" s="50"/>
      <c r="I334" s="129">
        <v>45049</v>
      </c>
      <c r="J334" s="130">
        <v>1230.2589109999999</v>
      </c>
      <c r="K334" s="131">
        <f t="shared" si="11"/>
        <v>1.2810214832889834E-2</v>
      </c>
      <c r="P334" s="86">
        <v>304</v>
      </c>
      <c r="Q334" s="86">
        <v>-3.2037572862863494E-3</v>
      </c>
      <c r="R334" s="86">
        <v>1.6946222844842138E-3</v>
      </c>
    </row>
    <row r="335" spans="2:18">
      <c r="B335" s="140">
        <v>45050</v>
      </c>
      <c r="C335" s="141">
        <v>18255.800781000002</v>
      </c>
      <c r="D335" s="142">
        <f t="shared" si="10"/>
        <v>9.1737176144039076E-3</v>
      </c>
      <c r="E335" s="50"/>
      <c r="I335" s="129">
        <v>45050</v>
      </c>
      <c r="J335" s="130">
        <v>1244.927124</v>
      </c>
      <c r="K335" s="131">
        <f t="shared" si="11"/>
        <v>1.1922866698097952E-2</v>
      </c>
      <c r="P335" s="86">
        <v>305</v>
      </c>
      <c r="Q335" s="86">
        <v>-5.7570980550513389E-3</v>
      </c>
      <c r="R335" s="86">
        <v>-2.1782001142780279E-3</v>
      </c>
    </row>
    <row r="336" spans="2:18">
      <c r="B336" s="140">
        <v>45051</v>
      </c>
      <c r="C336" s="141">
        <v>18069</v>
      </c>
      <c r="D336" s="142">
        <f t="shared" si="10"/>
        <v>-1.0232406851986326E-2</v>
      </c>
      <c r="E336" s="50"/>
      <c r="I336" s="129">
        <v>45051</v>
      </c>
      <c r="J336" s="130">
        <v>1274.3630370000001</v>
      </c>
      <c r="K336" s="131">
        <f t="shared" si="11"/>
        <v>2.3644687654825348E-2</v>
      </c>
      <c r="P336" s="86">
        <v>306</v>
      </c>
      <c r="Q336" s="86">
        <v>1.9601579587610559E-3</v>
      </c>
      <c r="R336" s="86">
        <v>-1.3428985629195979E-2</v>
      </c>
    </row>
    <row r="337" spans="2:18">
      <c r="B337" s="140">
        <v>45054</v>
      </c>
      <c r="C337" s="141">
        <v>18264.400390999999</v>
      </c>
      <c r="D337" s="142">
        <f t="shared" si="10"/>
        <v>1.0814123139077935E-2</v>
      </c>
      <c r="E337" s="50"/>
      <c r="I337" s="129">
        <v>45054</v>
      </c>
      <c r="J337" s="130">
        <v>1246.7110600000001</v>
      </c>
      <c r="K337" s="131">
        <f t="shared" si="11"/>
        <v>-2.1698665291717798E-2</v>
      </c>
      <c r="P337" s="86">
        <v>307</v>
      </c>
      <c r="Q337" s="86">
        <v>-1.3956446763281104E-3</v>
      </c>
      <c r="R337" s="86">
        <v>-1.9068510987222453E-2</v>
      </c>
    </row>
    <row r="338" spans="2:18">
      <c r="B338" s="140">
        <v>45055</v>
      </c>
      <c r="C338" s="141">
        <v>18265.949218999998</v>
      </c>
      <c r="D338" s="142">
        <f t="shared" si="10"/>
        <v>8.4800374873639524E-5</v>
      </c>
      <c r="E338" s="50"/>
      <c r="I338" s="129">
        <v>45055</v>
      </c>
      <c r="J338" s="130">
        <v>1228.5242920000001</v>
      </c>
      <c r="K338" s="131">
        <f t="shared" si="11"/>
        <v>-1.4587797111545659E-2</v>
      </c>
      <c r="P338" s="86">
        <v>308</v>
      </c>
      <c r="Q338" s="86">
        <v>5.9340382734431969E-3</v>
      </c>
      <c r="R338" s="86">
        <v>2.5184721062213537E-2</v>
      </c>
    </row>
    <row r="339" spans="2:18">
      <c r="B339" s="140">
        <v>45056</v>
      </c>
      <c r="C339" s="141">
        <v>18315.099609000001</v>
      </c>
      <c r="D339" s="142">
        <f t="shared" si="10"/>
        <v>2.6908204665803477E-3</v>
      </c>
      <c r="E339" s="50"/>
      <c r="I339" s="129">
        <v>45056</v>
      </c>
      <c r="J339" s="130">
        <v>1244.530518</v>
      </c>
      <c r="K339" s="131">
        <f t="shared" si="11"/>
        <v>1.3028823364935114E-2</v>
      </c>
      <c r="P339" s="86">
        <v>309</v>
      </c>
      <c r="Q339" s="86">
        <v>1.2589438901415298E-2</v>
      </c>
      <c r="R339" s="86">
        <v>-5.0444324854009509E-3</v>
      </c>
    </row>
    <row r="340" spans="2:18">
      <c r="B340" s="140">
        <v>45057</v>
      </c>
      <c r="C340" s="141">
        <v>18297</v>
      </c>
      <c r="D340" s="142">
        <f t="shared" si="10"/>
        <v>-9.8823426497263904E-4</v>
      </c>
      <c r="E340" s="50"/>
      <c r="I340" s="129">
        <v>45057</v>
      </c>
      <c r="J340" s="130">
        <v>1270.646362</v>
      </c>
      <c r="K340" s="131">
        <f t="shared" si="11"/>
        <v>2.0984494652625245E-2</v>
      </c>
      <c r="P340" s="86">
        <v>310</v>
      </c>
      <c r="Q340" s="86">
        <v>1.8133281998470815E-3</v>
      </c>
      <c r="R340" s="86">
        <v>-1.4346591561032425E-3</v>
      </c>
    </row>
    <row r="341" spans="2:18">
      <c r="B341" s="140">
        <v>45058</v>
      </c>
      <c r="C341" s="141">
        <v>18314.800781000002</v>
      </c>
      <c r="D341" s="142">
        <f t="shared" si="10"/>
        <v>9.728797617096647E-4</v>
      </c>
      <c r="E341" s="50"/>
      <c r="I341" s="129">
        <v>45058</v>
      </c>
      <c r="J341" s="130">
        <v>1294.3336179999999</v>
      </c>
      <c r="K341" s="131">
        <f t="shared" si="11"/>
        <v>1.8641894950784058E-2</v>
      </c>
      <c r="P341" s="86">
        <v>311</v>
      </c>
      <c r="Q341" s="86">
        <v>7.1001162054931399E-3</v>
      </c>
      <c r="R341" s="86">
        <v>2.9508065746599484E-3</v>
      </c>
    </row>
    <row r="342" spans="2:18">
      <c r="B342" s="140">
        <v>45061</v>
      </c>
      <c r="C342" s="141">
        <v>18398.849609000001</v>
      </c>
      <c r="D342" s="142">
        <f t="shared" si="10"/>
        <v>4.5891205154244613E-3</v>
      </c>
      <c r="E342" s="50"/>
      <c r="I342" s="129">
        <v>45061</v>
      </c>
      <c r="J342" s="130">
        <v>1286.7517089999999</v>
      </c>
      <c r="K342" s="131">
        <f t="shared" si="11"/>
        <v>-5.8577702800577313E-3</v>
      </c>
      <c r="P342" s="86">
        <v>312</v>
      </c>
      <c r="Q342" s="86">
        <v>1.9594231639236724E-3</v>
      </c>
      <c r="R342" s="86">
        <v>-7.2469707054187487E-3</v>
      </c>
    </row>
    <row r="343" spans="2:18">
      <c r="B343" s="140">
        <v>45062</v>
      </c>
      <c r="C343" s="141">
        <v>18286.5</v>
      </c>
      <c r="D343" s="142">
        <f t="shared" si="10"/>
        <v>-6.106338786803482E-3</v>
      </c>
      <c r="E343" s="50"/>
      <c r="I343" s="129">
        <v>45062</v>
      </c>
      <c r="J343" s="130">
        <v>1279.665405</v>
      </c>
      <c r="K343" s="131">
        <f t="shared" si="11"/>
        <v>-5.507126161508699E-3</v>
      </c>
      <c r="P343" s="86">
        <v>313</v>
      </c>
      <c r="Q343" s="86">
        <v>1.2097864480191808E-3</v>
      </c>
      <c r="R343" s="86">
        <v>-2.197089382257077E-2</v>
      </c>
    </row>
    <row r="344" spans="2:18">
      <c r="B344" s="140">
        <v>45063</v>
      </c>
      <c r="C344" s="141">
        <v>18181.75</v>
      </c>
      <c r="D344" s="142">
        <f t="shared" si="10"/>
        <v>-5.7282694884204198E-3</v>
      </c>
      <c r="E344" s="50"/>
      <c r="I344" s="129">
        <v>45063</v>
      </c>
      <c r="J344" s="130">
        <v>1257.9105219999999</v>
      </c>
      <c r="K344" s="131">
        <f t="shared" si="11"/>
        <v>-1.7000446300257734E-2</v>
      </c>
      <c r="P344" s="86">
        <v>314</v>
      </c>
      <c r="Q344" s="86">
        <v>4.382096433329887E-3</v>
      </c>
      <c r="R344" s="86">
        <v>-1.6037445168129907E-3</v>
      </c>
    </row>
    <row r="345" spans="2:18">
      <c r="B345" s="140">
        <v>45064</v>
      </c>
      <c r="C345" s="141">
        <v>18129.949218999998</v>
      </c>
      <c r="D345" s="142">
        <f t="shared" si="10"/>
        <v>-2.8490536389512416E-3</v>
      </c>
      <c r="E345" s="50"/>
      <c r="I345" s="129">
        <v>45064</v>
      </c>
      <c r="J345" s="130">
        <v>1253.1533199999999</v>
      </c>
      <c r="K345" s="131">
        <f t="shared" si="11"/>
        <v>-3.7818286092689245E-3</v>
      </c>
      <c r="P345" s="86">
        <v>315</v>
      </c>
      <c r="Q345" s="86">
        <v>4.0078160779276339E-3</v>
      </c>
      <c r="R345" s="86">
        <v>3.5369064215251666E-3</v>
      </c>
    </row>
    <row r="346" spans="2:18">
      <c r="B346" s="140">
        <v>45065</v>
      </c>
      <c r="C346" s="141">
        <v>18203.400390999999</v>
      </c>
      <c r="D346" s="142">
        <f t="shared" si="10"/>
        <v>4.0513721860304429E-3</v>
      </c>
      <c r="E346" s="50"/>
      <c r="I346" s="129">
        <v>45065</v>
      </c>
      <c r="J346" s="130">
        <v>1248.346558</v>
      </c>
      <c r="K346" s="131">
        <f t="shared" si="11"/>
        <v>-3.8357333642143128E-3</v>
      </c>
      <c r="P346" s="86">
        <v>316</v>
      </c>
      <c r="Q346" s="86">
        <v>7.9868019323401697E-4</v>
      </c>
      <c r="R346" s="86">
        <v>2.8820710092691171E-3</v>
      </c>
    </row>
    <row r="347" spans="2:18">
      <c r="B347" s="140">
        <v>45068</v>
      </c>
      <c r="C347" s="141">
        <v>18314.400390999999</v>
      </c>
      <c r="D347" s="142">
        <f t="shared" si="10"/>
        <v>6.0977618255806682E-3</v>
      </c>
      <c r="E347" s="50"/>
      <c r="I347" s="129">
        <v>45068</v>
      </c>
      <c r="J347" s="130">
        <v>1252.509033</v>
      </c>
      <c r="K347" s="131">
        <f t="shared" si="11"/>
        <v>3.3343905771397865E-3</v>
      </c>
      <c r="P347" s="86">
        <v>317</v>
      </c>
      <c r="Q347" s="86">
        <v>-5.0513793437023053E-3</v>
      </c>
      <c r="R347" s="86">
        <v>2.9499105501026239E-2</v>
      </c>
    </row>
    <row r="348" spans="2:18">
      <c r="B348" s="140">
        <v>45069</v>
      </c>
      <c r="C348" s="141">
        <v>18348</v>
      </c>
      <c r="D348" s="142">
        <f t="shared" si="10"/>
        <v>1.8346005483484019E-3</v>
      </c>
      <c r="E348" s="50"/>
      <c r="I348" s="129">
        <v>45069</v>
      </c>
      <c r="J348" s="130">
        <v>1238.6336670000001</v>
      </c>
      <c r="K348" s="131">
        <f t="shared" si="11"/>
        <v>-1.1078056632267007E-2</v>
      </c>
      <c r="P348" s="86">
        <v>318</v>
      </c>
      <c r="Q348" s="86">
        <v>-1.8804010343013147E-3</v>
      </c>
      <c r="R348" s="86">
        <v>-2.3986798958614882E-3</v>
      </c>
    </row>
    <row r="349" spans="2:18">
      <c r="B349" s="140">
        <v>45070</v>
      </c>
      <c r="C349" s="141">
        <v>18285.400390999999</v>
      </c>
      <c r="D349" s="142">
        <f t="shared" si="10"/>
        <v>-3.4117946915195544E-3</v>
      </c>
      <c r="E349" s="50"/>
      <c r="I349" s="129">
        <v>45070</v>
      </c>
      <c r="J349" s="130">
        <v>1262.023682</v>
      </c>
      <c r="K349" s="131">
        <f t="shared" si="11"/>
        <v>1.8883722946632896E-2</v>
      </c>
      <c r="P349" s="86">
        <v>319</v>
      </c>
      <c r="Q349" s="86">
        <v>-1.656908034952853E-3</v>
      </c>
      <c r="R349" s="86">
        <v>6.2849925195548381E-3</v>
      </c>
    </row>
    <row r="350" spans="2:18">
      <c r="B350" s="140">
        <v>45071</v>
      </c>
      <c r="C350" s="141">
        <v>18321.150390999999</v>
      </c>
      <c r="D350" s="142">
        <f t="shared" si="10"/>
        <v>1.955111686676328E-3</v>
      </c>
      <c r="E350" s="50"/>
      <c r="I350" s="129">
        <v>45071</v>
      </c>
      <c r="J350" s="130">
        <v>1267.0288089999999</v>
      </c>
      <c r="K350" s="131">
        <f t="shared" si="11"/>
        <v>3.9659533108507092E-3</v>
      </c>
      <c r="P350" s="86">
        <v>320</v>
      </c>
      <c r="Q350" s="86">
        <v>3.775023845385979E-4</v>
      </c>
      <c r="R350" s="86">
        <v>-8.3981775417912349E-3</v>
      </c>
    </row>
    <row r="351" spans="2:18">
      <c r="B351" s="140">
        <v>45072</v>
      </c>
      <c r="C351" s="141">
        <v>18499.349609000001</v>
      </c>
      <c r="D351" s="142">
        <f t="shared" si="10"/>
        <v>9.7264207867394266E-3</v>
      </c>
      <c r="E351" s="50"/>
      <c r="I351" s="129">
        <v>45072</v>
      </c>
      <c r="J351" s="130">
        <v>1277.6831050000001</v>
      </c>
      <c r="K351" s="131">
        <f t="shared" si="11"/>
        <v>8.4088822008783221E-3</v>
      </c>
      <c r="P351" s="86">
        <v>321</v>
      </c>
      <c r="Q351" s="86">
        <v>1.1358322921098897E-4</v>
      </c>
      <c r="R351" s="86">
        <v>2.2083713637805601E-3</v>
      </c>
    </row>
    <row r="352" spans="2:18">
      <c r="B352" s="140">
        <v>45075</v>
      </c>
      <c r="C352" s="141">
        <v>18598.650390999999</v>
      </c>
      <c r="D352" s="142">
        <f t="shared" si="10"/>
        <v>5.3677985496143193E-3</v>
      </c>
      <c r="E352" s="50"/>
      <c r="I352" s="129">
        <v>45075</v>
      </c>
      <c r="J352" s="130">
        <v>1286.0579829999999</v>
      </c>
      <c r="K352" s="131">
        <f t="shared" si="11"/>
        <v>6.5547379997639189E-3</v>
      </c>
      <c r="P352" s="86">
        <v>322</v>
      </c>
      <c r="Q352" s="86">
        <v>5.2950756343836678E-3</v>
      </c>
      <c r="R352" s="86">
        <v>-1.0879906284195282E-2</v>
      </c>
    </row>
    <row r="353" spans="2:18">
      <c r="B353" s="140">
        <v>45076</v>
      </c>
      <c r="C353" s="141">
        <v>18633.849609000001</v>
      </c>
      <c r="D353" s="142">
        <f t="shared" si="10"/>
        <v>1.8925683993196991E-3</v>
      </c>
      <c r="E353" s="50"/>
      <c r="I353" s="129">
        <v>45076</v>
      </c>
      <c r="J353" s="130">
        <v>1276.890259</v>
      </c>
      <c r="K353" s="131">
        <f t="shared" si="11"/>
        <v>-7.1285463961852395E-3</v>
      </c>
      <c r="P353" s="86">
        <v>323</v>
      </c>
      <c r="Q353" s="86">
        <v>1.24181110339066E-3</v>
      </c>
      <c r="R353" s="86">
        <v>1.0406633263017736E-2</v>
      </c>
    </row>
    <row r="354" spans="2:18">
      <c r="B354" s="140">
        <v>45077</v>
      </c>
      <c r="C354" s="141">
        <v>18534.400390999999</v>
      </c>
      <c r="D354" s="142">
        <f t="shared" si="10"/>
        <v>-5.3370194611836079E-3</v>
      </c>
      <c r="E354" s="50"/>
      <c r="I354" s="129">
        <v>45077</v>
      </c>
      <c r="J354" s="130">
        <v>1296.315918</v>
      </c>
      <c r="K354" s="131">
        <f t="shared" si="11"/>
        <v>1.5213256474533098E-2</v>
      </c>
      <c r="P354" s="86">
        <v>324</v>
      </c>
      <c r="Q354" s="86">
        <v>2.034147958076923E-3</v>
      </c>
      <c r="R354" s="86">
        <v>1.2555415904942219E-3</v>
      </c>
    </row>
    <row r="355" spans="2:18">
      <c r="B355" s="140">
        <v>45078</v>
      </c>
      <c r="C355" s="141">
        <v>18487.75</v>
      </c>
      <c r="D355" s="142">
        <f t="shared" si="10"/>
        <v>-2.5169625138049723E-3</v>
      </c>
      <c r="E355" s="50"/>
      <c r="I355" s="129">
        <v>45078</v>
      </c>
      <c r="J355" s="130">
        <v>1320.0529790000001</v>
      </c>
      <c r="K355" s="131">
        <f t="shared" si="11"/>
        <v>1.8311169885672916E-2</v>
      </c>
      <c r="P355" s="86">
        <v>325</v>
      </c>
      <c r="Q355" s="86">
        <v>4.4739006750191346E-3</v>
      </c>
      <c r="R355" s="86">
        <v>-3.408428726985093E-3</v>
      </c>
    </row>
    <row r="356" spans="2:18">
      <c r="B356" s="140">
        <v>45079</v>
      </c>
      <c r="C356" s="141">
        <v>18534.099609000001</v>
      </c>
      <c r="D356" s="142">
        <f t="shared" si="10"/>
        <v>2.5070443401712366E-3</v>
      </c>
      <c r="E356" s="50"/>
      <c r="I356" s="129">
        <v>45079</v>
      </c>
      <c r="J356" s="130">
        <v>1324.0804439999999</v>
      </c>
      <c r="K356" s="131">
        <f t="shared" si="11"/>
        <v>3.0509873952565751E-3</v>
      </c>
      <c r="P356" s="86">
        <v>326</v>
      </c>
      <c r="Q356" s="86">
        <v>6.5137278705540919E-3</v>
      </c>
      <c r="R356" s="86">
        <v>8.5615426748460437E-4</v>
      </c>
    </row>
    <row r="357" spans="2:18">
      <c r="B357" s="140">
        <v>45082</v>
      </c>
      <c r="C357" s="141">
        <v>18593.849609000001</v>
      </c>
      <c r="D357" s="142">
        <f t="shared" si="10"/>
        <v>3.2237875732029578E-3</v>
      </c>
      <c r="E357" s="50"/>
      <c r="I357" s="129">
        <v>45082</v>
      </c>
      <c r="J357" s="130">
        <v>1339.7432859999999</v>
      </c>
      <c r="K357" s="131">
        <f t="shared" si="11"/>
        <v>1.1829222364075605E-2</v>
      </c>
      <c r="P357" s="86">
        <v>327</v>
      </c>
      <c r="Q357" s="86">
        <v>3.6198085200278007E-3</v>
      </c>
      <c r="R357" s="86">
        <v>-7.3590368634403446E-3</v>
      </c>
    </row>
    <row r="358" spans="2:18">
      <c r="B358" s="140">
        <v>45083</v>
      </c>
      <c r="C358" s="141">
        <v>18599</v>
      </c>
      <c r="D358" s="142">
        <f t="shared" si="10"/>
        <v>2.7699433459471828E-4</v>
      </c>
      <c r="E358" s="50"/>
      <c r="I358" s="129">
        <v>45083</v>
      </c>
      <c r="J358" s="130">
        <v>1327.213013</v>
      </c>
      <c r="K358" s="131">
        <f t="shared" si="11"/>
        <v>-9.3527417759344186E-3</v>
      </c>
      <c r="P358" s="86">
        <v>328</v>
      </c>
      <c r="Q358" s="86">
        <v>-2.2980536479655402E-3</v>
      </c>
      <c r="R358" s="86">
        <v>1.5108268480855374E-2</v>
      </c>
    </row>
    <row r="359" spans="2:18">
      <c r="B359" s="140">
        <v>45084</v>
      </c>
      <c r="C359" s="141">
        <v>18726.400390999999</v>
      </c>
      <c r="D359" s="142">
        <f t="shared" si="10"/>
        <v>6.8498516586912852E-3</v>
      </c>
      <c r="E359" s="50"/>
      <c r="I359" s="129">
        <v>45084</v>
      </c>
      <c r="J359" s="130">
        <v>1338.400635</v>
      </c>
      <c r="K359" s="131">
        <f t="shared" si="11"/>
        <v>8.4294095148386844E-3</v>
      </c>
      <c r="P359" s="86">
        <v>329</v>
      </c>
      <c r="Q359" s="86">
        <v>7.1266260330404363E-3</v>
      </c>
      <c r="R359" s="86">
        <v>4.7962406650575154E-3</v>
      </c>
    </row>
    <row r="360" spans="2:18">
      <c r="B360" s="140">
        <v>45085</v>
      </c>
      <c r="C360" s="141">
        <v>18634.550781000002</v>
      </c>
      <c r="D360" s="142">
        <f t="shared" si="10"/>
        <v>-4.9048192969397822E-3</v>
      </c>
      <c r="E360" s="50"/>
      <c r="I360" s="129">
        <v>45085</v>
      </c>
      <c r="J360" s="130">
        <v>1347.94751</v>
      </c>
      <c r="K360" s="131">
        <f t="shared" si="11"/>
        <v>7.1330472732478939E-3</v>
      </c>
      <c r="P360" s="86">
        <v>330</v>
      </c>
      <c r="Q360" s="86">
        <v>-7.6723274078232704E-3</v>
      </c>
      <c r="R360" s="86">
        <v>3.1317015062648619E-2</v>
      </c>
    </row>
    <row r="361" spans="2:18">
      <c r="B361" s="140">
        <v>45086</v>
      </c>
      <c r="C361" s="141">
        <v>18563.400390999999</v>
      </c>
      <c r="D361" s="142">
        <f t="shared" si="10"/>
        <v>-3.8181972206460836E-3</v>
      </c>
      <c r="E361" s="50"/>
      <c r="I361" s="129">
        <v>45086</v>
      </c>
      <c r="J361" s="130">
        <v>1338.400635</v>
      </c>
      <c r="K361" s="131">
        <f t="shared" si="11"/>
        <v>-7.0825272714068813E-3</v>
      </c>
      <c r="P361" s="86">
        <v>331</v>
      </c>
      <c r="Q361" s="86">
        <v>8.3775860083735339E-3</v>
      </c>
      <c r="R361" s="86">
        <v>-3.0076251300091332E-2</v>
      </c>
    </row>
    <row r="362" spans="2:18">
      <c r="B362" s="140">
        <v>45089</v>
      </c>
      <c r="C362" s="141">
        <v>18601.5</v>
      </c>
      <c r="D362" s="142">
        <f t="shared" si="10"/>
        <v>2.0524046347926875E-3</v>
      </c>
      <c r="E362" s="50"/>
      <c r="I362" s="129">
        <v>45089</v>
      </c>
      <c r="J362" s="130">
        <v>1339.0969239999999</v>
      </c>
      <c r="K362" s="131">
        <f t="shared" si="11"/>
        <v>5.2023959178708757E-4</v>
      </c>
      <c r="P362" s="86">
        <v>332</v>
      </c>
      <c r="Q362" s="86">
        <v>1.9549131376015219E-4</v>
      </c>
      <c r="R362" s="86">
        <v>-1.4783288425305812E-2</v>
      </c>
    </row>
    <row r="363" spans="2:18">
      <c r="B363" s="140">
        <v>45090</v>
      </c>
      <c r="C363" s="141">
        <v>18716.150390999999</v>
      </c>
      <c r="D363" s="142">
        <f t="shared" si="10"/>
        <v>6.1635024594790325E-3</v>
      </c>
      <c r="E363" s="50"/>
      <c r="I363" s="129">
        <v>45090</v>
      </c>
      <c r="J363" s="130">
        <v>1342.826172</v>
      </c>
      <c r="K363" s="131">
        <f t="shared" si="11"/>
        <v>2.7848977420249065E-3</v>
      </c>
      <c r="P363" s="86">
        <v>333</v>
      </c>
      <c r="Q363" s="86">
        <v>2.182821142027338E-3</v>
      </c>
      <c r="R363" s="86">
        <v>1.0846002222907776E-2</v>
      </c>
    </row>
    <row r="364" spans="2:18">
      <c r="B364" s="140">
        <v>45091</v>
      </c>
      <c r="C364" s="141">
        <v>18755.900390999999</v>
      </c>
      <c r="D364" s="142">
        <f t="shared" si="10"/>
        <v>2.1238341843584732E-3</v>
      </c>
      <c r="E364" s="50"/>
      <c r="I364" s="129">
        <v>45091</v>
      </c>
      <c r="J364" s="130">
        <v>1353.4171140000001</v>
      </c>
      <c r="K364" s="131">
        <f t="shared" si="11"/>
        <v>7.8870536044333521E-3</v>
      </c>
      <c r="P364" s="86">
        <v>334</v>
      </c>
      <c r="Q364" s="86">
        <v>-6.2279621722118755E-4</v>
      </c>
      <c r="R364" s="86">
        <v>2.1607290869846432E-2</v>
      </c>
    </row>
    <row r="365" spans="2:18">
      <c r="B365" s="140">
        <v>45092</v>
      </c>
      <c r="C365" s="141">
        <v>18688.099609000001</v>
      </c>
      <c r="D365" s="142">
        <f t="shared" si="10"/>
        <v>-3.6149041414472735E-3</v>
      </c>
      <c r="E365" s="50"/>
      <c r="I365" s="129">
        <v>45092</v>
      </c>
      <c r="J365" s="130">
        <v>1347.798462</v>
      </c>
      <c r="K365" s="131">
        <f t="shared" si="11"/>
        <v>-4.1514562967171929E-3</v>
      </c>
      <c r="P365" s="86">
        <v>335</v>
      </c>
      <c r="Q365" s="86">
        <v>8.7273346586213814E-4</v>
      </c>
      <c r="R365" s="86">
        <v>1.7769161484921921E-2</v>
      </c>
    </row>
    <row r="366" spans="2:18">
      <c r="B366" s="140">
        <v>45093</v>
      </c>
      <c r="C366" s="141">
        <v>18826</v>
      </c>
      <c r="D366" s="142">
        <f t="shared" si="10"/>
        <v>7.3790483722372593E-3</v>
      </c>
      <c r="E366" s="50"/>
      <c r="I366" s="129">
        <v>45093</v>
      </c>
      <c r="J366" s="130">
        <v>1343.373047</v>
      </c>
      <c r="K366" s="131">
        <f t="shared" si="11"/>
        <v>-3.2834397165233818E-3</v>
      </c>
      <c r="P366" s="86">
        <v>336</v>
      </c>
      <c r="Q366" s="86">
        <v>3.6304493940406538E-3</v>
      </c>
      <c r="R366" s="86">
        <v>-9.4882196740983856E-3</v>
      </c>
    </row>
    <row r="367" spans="2:18">
      <c r="B367" s="140">
        <v>45096</v>
      </c>
      <c r="C367" s="141">
        <v>18755.449218999998</v>
      </c>
      <c r="D367" s="142">
        <f t="shared" si="10"/>
        <v>-3.7475183788378695E-3</v>
      </c>
      <c r="E367" s="50"/>
      <c r="I367" s="129">
        <v>45096</v>
      </c>
      <c r="J367" s="130">
        <v>1329.549927</v>
      </c>
      <c r="K367" s="131">
        <f t="shared" si="11"/>
        <v>-1.0289859567206291E-2</v>
      </c>
      <c r="P367" s="86">
        <v>337</v>
      </c>
      <c r="Q367" s="86">
        <v>-4.5258212985674609E-3</v>
      </c>
      <c r="R367" s="86">
        <v>-9.8130486294123812E-4</v>
      </c>
    </row>
    <row r="368" spans="2:18">
      <c r="B368" s="140">
        <v>45097</v>
      </c>
      <c r="C368" s="141">
        <v>18816.699218999998</v>
      </c>
      <c r="D368" s="142">
        <f t="shared" si="10"/>
        <v>3.2657175674550825E-3</v>
      </c>
      <c r="E368" s="50"/>
      <c r="I368" s="129">
        <v>45097</v>
      </c>
      <c r="J368" s="130">
        <v>1339.3454589999999</v>
      </c>
      <c r="K368" s="131">
        <f t="shared" si="11"/>
        <v>7.3675548402326874E-3</v>
      </c>
      <c r="P368" s="86">
        <v>338</v>
      </c>
      <c r="Q368" s="86">
        <v>-4.2375087117920299E-3</v>
      </c>
      <c r="R368" s="86">
        <v>-1.2762937588465705E-2</v>
      </c>
    </row>
    <row r="369" spans="2:18">
      <c r="B369" s="140">
        <v>45098</v>
      </c>
      <c r="C369" s="141">
        <v>18856.849609000001</v>
      </c>
      <c r="D369" s="142">
        <f t="shared" si="10"/>
        <v>2.1337637134286021E-3</v>
      </c>
      <c r="E369" s="50"/>
      <c r="I369" s="129">
        <v>45098</v>
      </c>
      <c r="J369" s="130">
        <v>1331.9864500000001</v>
      </c>
      <c r="K369" s="131">
        <f t="shared" si="11"/>
        <v>-5.4944816145449651E-3</v>
      </c>
      <c r="P369" s="86">
        <v>339</v>
      </c>
      <c r="Q369" s="86">
        <v>-2.0418420099584385E-3</v>
      </c>
      <c r="R369" s="86">
        <v>-1.739986599310486E-3</v>
      </c>
    </row>
    <row r="370" spans="2:18">
      <c r="B370" s="140">
        <v>45099</v>
      </c>
      <c r="C370" s="141">
        <v>18771.25</v>
      </c>
      <c r="D370" s="142">
        <f t="shared" si="10"/>
        <v>-4.5394437976079413E-3</v>
      </c>
      <c r="E370" s="50"/>
      <c r="I370" s="129">
        <v>45099</v>
      </c>
      <c r="J370" s="130">
        <v>1318.0639650000001</v>
      </c>
      <c r="K370" s="131">
        <f t="shared" si="11"/>
        <v>-1.0452422395137766E-2</v>
      </c>
      <c r="P370" s="86">
        <v>340</v>
      </c>
      <c r="Q370" s="86">
        <v>3.2203668706915385E-3</v>
      </c>
      <c r="R370" s="86">
        <v>-7.0561002349058509E-3</v>
      </c>
    </row>
    <row r="371" spans="2:18">
      <c r="B371" s="140">
        <v>45100</v>
      </c>
      <c r="C371" s="141">
        <v>18665.5</v>
      </c>
      <c r="D371" s="142">
        <f t="shared" si="10"/>
        <v>-5.6336152360657917E-3</v>
      </c>
      <c r="E371" s="50"/>
      <c r="I371" s="129">
        <v>45100</v>
      </c>
      <c r="J371" s="130">
        <v>1277.8378909999999</v>
      </c>
      <c r="K371" s="131">
        <f t="shared" si="11"/>
        <v>-3.0519060582921066E-2</v>
      </c>
      <c r="P371" s="86">
        <v>341</v>
      </c>
      <c r="Q371" s="86">
        <v>4.7809270459094038E-3</v>
      </c>
      <c r="R371" s="86">
        <v>-1.4465364687696173E-3</v>
      </c>
    </row>
    <row r="372" spans="2:18">
      <c r="B372" s="140">
        <v>45103</v>
      </c>
      <c r="C372" s="141">
        <v>18691.199218999998</v>
      </c>
      <c r="D372" s="142">
        <f t="shared" si="10"/>
        <v>1.3768299268703365E-3</v>
      </c>
      <c r="E372" s="50"/>
      <c r="I372" s="129">
        <v>45103</v>
      </c>
      <c r="J372" s="130">
        <v>1283.2576899999999</v>
      </c>
      <c r="K372" s="131">
        <f t="shared" si="11"/>
        <v>4.2413822897039233E-3</v>
      </c>
      <c r="P372" s="86">
        <v>342</v>
      </c>
      <c r="Q372" s="86">
        <v>1.5298747628056616E-3</v>
      </c>
      <c r="R372" s="86">
        <v>-1.2607931395072668E-2</v>
      </c>
    </row>
    <row r="373" spans="2:18">
      <c r="B373" s="140">
        <v>45104</v>
      </c>
      <c r="C373" s="141">
        <v>18817.400390999999</v>
      </c>
      <c r="D373" s="142">
        <f t="shared" si="10"/>
        <v>6.7519034237094218E-3</v>
      </c>
      <c r="E373" s="50"/>
      <c r="I373" s="129">
        <v>45104</v>
      </c>
      <c r="J373" s="130">
        <v>1278.782471</v>
      </c>
      <c r="K373" s="131">
        <f t="shared" si="11"/>
        <v>-3.4873891930465853E-3</v>
      </c>
      <c r="P373" s="86">
        <v>343</v>
      </c>
      <c r="Q373" s="86">
        <v>-2.4709837817039745E-3</v>
      </c>
      <c r="R373" s="86">
        <v>2.1354706728336871E-2</v>
      </c>
    </row>
    <row r="374" spans="2:18">
      <c r="B374" s="140">
        <v>45105</v>
      </c>
      <c r="C374" s="141">
        <v>18972.099609000001</v>
      </c>
      <c r="D374" s="142">
        <f t="shared" si="10"/>
        <v>8.2210727723044698E-3</v>
      </c>
      <c r="E374" s="50"/>
      <c r="I374" s="129">
        <v>45105</v>
      </c>
      <c r="J374" s="130">
        <v>1282.312866</v>
      </c>
      <c r="K374" s="131">
        <f t="shared" si="11"/>
        <v>2.7607471012949148E-3</v>
      </c>
      <c r="P374" s="86">
        <v>344</v>
      </c>
      <c r="Q374" s="86">
        <v>1.6217755814523331E-3</v>
      </c>
      <c r="R374" s="86">
        <v>2.3441777293983761E-3</v>
      </c>
    </row>
    <row r="375" spans="2:18">
      <c r="B375" s="140">
        <v>45107</v>
      </c>
      <c r="C375" s="141">
        <v>19189.050781000002</v>
      </c>
      <c r="D375" s="142">
        <f t="shared" si="10"/>
        <v>1.143527477038353E-2</v>
      </c>
      <c r="E375" s="50"/>
      <c r="I375" s="129">
        <v>45107</v>
      </c>
      <c r="J375" s="130">
        <v>1275.699707</v>
      </c>
      <c r="K375" s="131">
        <f t="shared" si="11"/>
        <v>-5.1572117658218956E-3</v>
      </c>
      <c r="P375" s="86">
        <v>345</v>
      </c>
      <c r="Q375" s="86">
        <v>7.5481129985691328E-3</v>
      </c>
      <c r="R375" s="86">
        <v>8.6076920230918931E-4</v>
      </c>
    </row>
    <row r="376" spans="2:18">
      <c r="B376" s="140">
        <v>45110</v>
      </c>
      <c r="C376" s="141">
        <v>19322.550781000002</v>
      </c>
      <c r="D376" s="142">
        <f t="shared" si="10"/>
        <v>6.9570924337844136E-3</v>
      </c>
      <c r="E376" s="50"/>
      <c r="I376" s="129">
        <v>45110</v>
      </c>
      <c r="J376" s="130">
        <v>1283.456543</v>
      </c>
      <c r="K376" s="131">
        <f t="shared" si="11"/>
        <v>6.0804560488936614E-3</v>
      </c>
      <c r="P376" s="86">
        <v>346</v>
      </c>
      <c r="Q376" s="86">
        <v>4.2242629601319638E-3</v>
      </c>
      <c r="R376" s="86">
        <v>2.3304750396319551E-3</v>
      </c>
    </row>
    <row r="377" spans="2:18">
      <c r="B377" s="140">
        <v>45111</v>
      </c>
      <c r="C377" s="141">
        <v>19389</v>
      </c>
      <c r="D377" s="142">
        <f t="shared" si="10"/>
        <v>3.4389465321182254E-3</v>
      </c>
      <c r="E377" s="50"/>
      <c r="I377" s="129">
        <v>45111</v>
      </c>
      <c r="J377" s="130">
        <v>1270.4788820000001</v>
      </c>
      <c r="K377" s="131">
        <f t="shared" si="11"/>
        <v>-1.0111492337454155E-2</v>
      </c>
      <c r="P377" s="86">
        <v>347</v>
      </c>
      <c r="Q377" s="86">
        <v>1.5740805767525371E-3</v>
      </c>
      <c r="R377" s="86">
        <v>-8.702626972937777E-3</v>
      </c>
    </row>
    <row r="378" spans="2:18">
      <c r="B378" s="140">
        <v>45112</v>
      </c>
      <c r="C378" s="141">
        <v>19398.5</v>
      </c>
      <c r="D378" s="142">
        <f t="shared" si="10"/>
        <v>4.8996853886224153E-4</v>
      </c>
      <c r="E378" s="50"/>
      <c r="I378" s="129">
        <v>45112</v>
      </c>
      <c r="J378" s="130">
        <v>1279.975952</v>
      </c>
      <c r="K378" s="131">
        <f t="shared" si="11"/>
        <v>7.4751891861827057E-3</v>
      </c>
      <c r="P378" s="86">
        <v>348</v>
      </c>
      <c r="Q378" s="86">
        <v>-3.939144607880289E-3</v>
      </c>
      <c r="R378" s="86">
        <v>1.9152401082413388E-2</v>
      </c>
    </row>
    <row r="379" spans="2:18">
      <c r="B379" s="140">
        <v>45113</v>
      </c>
      <c r="C379" s="141">
        <v>19497.300781000002</v>
      </c>
      <c r="D379" s="142">
        <f t="shared" si="10"/>
        <v>5.093217568368778E-3</v>
      </c>
      <c r="E379" s="50"/>
      <c r="I379" s="129">
        <v>45113</v>
      </c>
      <c r="J379" s="130">
        <v>1301.5061040000001</v>
      </c>
      <c r="K379" s="131">
        <f t="shared" si="11"/>
        <v>1.6820747269789365E-2</v>
      </c>
      <c r="P379" s="86">
        <v>349</v>
      </c>
      <c r="Q379" s="86">
        <v>-1.7885920059364938E-3</v>
      </c>
      <c r="R379" s="86">
        <v>2.0099761891609409E-2</v>
      </c>
    </row>
    <row r="380" spans="2:18">
      <c r="B380" s="140">
        <v>45114</v>
      </c>
      <c r="C380" s="141">
        <v>19331.800781000002</v>
      </c>
      <c r="D380" s="142">
        <f t="shared" si="10"/>
        <v>-8.4883544578272449E-3</v>
      </c>
      <c r="E380" s="50"/>
      <c r="I380" s="129">
        <v>45114</v>
      </c>
      <c r="J380" s="130">
        <v>1277.290894</v>
      </c>
      <c r="K380" s="131">
        <f t="shared" si="11"/>
        <v>-1.8605529336802918E-2</v>
      </c>
      <c r="P380" s="86">
        <v>350</v>
      </c>
      <c r="Q380" s="86">
        <v>2.04267495554992E-3</v>
      </c>
      <c r="R380" s="86">
        <v>1.0083124397066551E-3</v>
      </c>
    </row>
    <row r="381" spans="2:18">
      <c r="B381" s="140">
        <v>45117</v>
      </c>
      <c r="C381" s="141">
        <v>19355.900390999999</v>
      </c>
      <c r="D381" s="142">
        <f t="shared" si="10"/>
        <v>1.246630372049119E-3</v>
      </c>
      <c r="E381" s="50"/>
      <c r="I381" s="129">
        <v>45117</v>
      </c>
      <c r="J381" s="130">
        <v>1284.0035399999999</v>
      </c>
      <c r="K381" s="131">
        <f t="shared" si="11"/>
        <v>5.2553776367875284E-3</v>
      </c>
      <c r="P381" s="86">
        <v>351</v>
      </c>
      <c r="Q381" s="86">
        <v>2.5892575435911887E-3</v>
      </c>
      <c r="R381" s="86">
        <v>9.2399648204844163E-3</v>
      </c>
    </row>
    <row r="382" spans="2:18">
      <c r="B382" s="140">
        <v>45118</v>
      </c>
      <c r="C382" s="141">
        <v>19439.400390999999</v>
      </c>
      <c r="D382" s="142">
        <f t="shared" si="10"/>
        <v>4.3139300323546499E-3</v>
      </c>
      <c r="E382" s="50"/>
      <c r="I382" s="129">
        <v>45118</v>
      </c>
      <c r="J382" s="130">
        <v>1300.412231</v>
      </c>
      <c r="K382" s="131">
        <f t="shared" si="11"/>
        <v>1.2779319128668516E-2</v>
      </c>
      <c r="P382" s="86">
        <v>352</v>
      </c>
      <c r="Q382" s="86">
        <v>3.4205687178558446E-4</v>
      </c>
      <c r="R382" s="86">
        <v>-9.6947986477200036E-3</v>
      </c>
    </row>
    <row r="383" spans="2:18">
      <c r="B383" s="140">
        <v>45119</v>
      </c>
      <c r="C383" s="141">
        <v>19384.300781000002</v>
      </c>
      <c r="D383" s="142">
        <f t="shared" si="10"/>
        <v>-2.8344295035718976E-3</v>
      </c>
      <c r="E383" s="50"/>
      <c r="I383" s="129">
        <v>45119</v>
      </c>
      <c r="J383" s="130">
        <v>1283.555908</v>
      </c>
      <c r="K383" s="131">
        <f t="shared" si="11"/>
        <v>-1.2962291954942383E-2</v>
      </c>
      <c r="P383" s="86">
        <v>353</v>
      </c>
      <c r="Q383" s="86">
        <v>5.3544646650681106E-3</v>
      </c>
      <c r="R383" s="86">
        <v>3.0749448497705738E-3</v>
      </c>
    </row>
    <row r="384" spans="2:18">
      <c r="B384" s="140">
        <v>45120</v>
      </c>
      <c r="C384" s="141">
        <v>19413.75</v>
      </c>
      <c r="D384" s="142">
        <f t="shared" si="10"/>
        <v>1.5192303984915279E-3</v>
      </c>
      <c r="E384" s="50"/>
      <c r="I384" s="129">
        <v>45120</v>
      </c>
      <c r="J384" s="130">
        <v>1265.2579350000001</v>
      </c>
      <c r="K384" s="131">
        <f t="shared" si="11"/>
        <v>-1.4255688346689419E-2</v>
      </c>
      <c r="P384" s="86">
        <v>354</v>
      </c>
      <c r="Q384" s="86">
        <v>-3.6095522609459209E-3</v>
      </c>
      <c r="R384" s="86">
        <v>1.0742599534193814E-2</v>
      </c>
    </row>
    <row r="385" spans="2:18">
      <c r="B385" s="140">
        <v>45121</v>
      </c>
      <c r="C385" s="141">
        <v>19564.5</v>
      </c>
      <c r="D385" s="142">
        <f t="shared" si="10"/>
        <v>7.7651149314274673E-3</v>
      </c>
      <c r="E385" s="50"/>
      <c r="I385" s="129">
        <v>45121</v>
      </c>
      <c r="J385" s="130">
        <v>1273.6610109999999</v>
      </c>
      <c r="K385" s="131">
        <f t="shared" si="11"/>
        <v>6.6413936380488514E-3</v>
      </c>
      <c r="P385" s="86">
        <v>355</v>
      </c>
      <c r="Q385" s="86">
        <v>-2.7809030609093136E-3</v>
      </c>
      <c r="R385" s="86">
        <v>-4.3016242104975677E-3</v>
      </c>
    </row>
    <row r="386" spans="2:18">
      <c r="B386" s="140">
        <v>45124</v>
      </c>
      <c r="C386" s="141">
        <v>19711.449218999998</v>
      </c>
      <c r="D386" s="142">
        <f t="shared" si="10"/>
        <v>7.5110132638195846E-3</v>
      </c>
      <c r="E386" s="50"/>
      <c r="I386" s="129">
        <v>45124</v>
      </c>
      <c r="J386" s="130">
        <v>1291.3127440000001</v>
      </c>
      <c r="K386" s="131">
        <f t="shared" si="11"/>
        <v>1.3859051072106776E-2</v>
      </c>
      <c r="P386" s="86">
        <v>356</v>
      </c>
      <c r="Q386" s="86">
        <v>1.6959703961765219E-3</v>
      </c>
      <c r="R386" s="86">
        <v>-1.1757308043894342E-3</v>
      </c>
    </row>
    <row r="387" spans="2:18">
      <c r="B387" s="140">
        <v>45125</v>
      </c>
      <c r="C387" s="141">
        <v>19749.25</v>
      </c>
      <c r="D387" s="142">
        <f t="shared" si="10"/>
        <v>1.9177068403253327E-3</v>
      </c>
      <c r="E387" s="50"/>
      <c r="I387" s="129">
        <v>45125</v>
      </c>
      <c r="J387" s="130">
        <v>1327.0141599999999</v>
      </c>
      <c r="K387" s="131">
        <f t="shared" si="11"/>
        <v>2.7647381446426644E-2</v>
      </c>
      <c r="P387" s="86">
        <v>357</v>
      </c>
      <c r="Q387" s="86">
        <v>4.8310603212019399E-3</v>
      </c>
      <c r="R387" s="86">
        <v>-2.0461625791770334E-3</v>
      </c>
    </row>
    <row r="388" spans="2:18">
      <c r="B388" s="140">
        <v>45126</v>
      </c>
      <c r="C388" s="141">
        <v>19833.150390999999</v>
      </c>
      <c r="D388" s="142">
        <f t="shared" si="10"/>
        <v>4.2482823904704849E-3</v>
      </c>
      <c r="E388" s="50"/>
      <c r="I388" s="129">
        <v>45126</v>
      </c>
      <c r="J388" s="130">
        <v>1356.450317</v>
      </c>
      <c r="K388" s="131">
        <f t="shared" si="11"/>
        <v>2.2182247851824047E-2</v>
      </c>
      <c r="P388" s="86">
        <v>358</v>
      </c>
      <c r="Q388" s="86">
        <v>1.7504419925097677E-3</v>
      </c>
      <c r="R388" s="86">
        <v>6.1366116119235849E-3</v>
      </c>
    </row>
    <row r="389" spans="2:18">
      <c r="B389" s="140">
        <v>45127</v>
      </c>
      <c r="C389" s="141">
        <v>19979.150390999999</v>
      </c>
      <c r="D389" s="142">
        <f t="shared" si="10"/>
        <v>7.361412439359746E-3</v>
      </c>
      <c r="E389" s="50"/>
      <c r="I389" s="129">
        <v>45127</v>
      </c>
      <c r="J389" s="130">
        <v>1340.588501</v>
      </c>
      <c r="K389" s="131">
        <f t="shared" si="11"/>
        <v>-1.1693621064633574E-2</v>
      </c>
      <c r="P389" s="86">
        <v>359</v>
      </c>
      <c r="Q389" s="86">
        <v>-2.6258734042087437E-3</v>
      </c>
      <c r="R389" s="86">
        <v>-1.5255828925084492E-3</v>
      </c>
    </row>
    <row r="390" spans="2:18">
      <c r="B390" s="140">
        <v>45128</v>
      </c>
      <c r="C390" s="141">
        <v>19745</v>
      </c>
      <c r="D390" s="142">
        <f t="shared" si="10"/>
        <v>-1.1719737146854696E-2</v>
      </c>
      <c r="E390" s="50"/>
      <c r="I390" s="129">
        <v>45128</v>
      </c>
      <c r="J390" s="130">
        <v>1296.036499</v>
      </c>
      <c r="K390" s="131">
        <f t="shared" si="11"/>
        <v>-3.3233167349090896E-2</v>
      </c>
      <c r="P390" s="86">
        <v>360</v>
      </c>
      <c r="Q390" s="86">
        <v>5.7580257953900637E-3</v>
      </c>
      <c r="R390" s="86">
        <v>-9.0414655119134459E-3</v>
      </c>
    </row>
    <row r="391" spans="2:18">
      <c r="B391" s="140">
        <v>45131</v>
      </c>
      <c r="C391" s="141">
        <v>19672.349609000001</v>
      </c>
      <c r="D391" s="142">
        <f t="shared" si="10"/>
        <v>-3.6794323119776762E-3</v>
      </c>
      <c r="E391" s="50"/>
      <c r="I391" s="129">
        <v>45131</v>
      </c>
      <c r="J391" s="130">
        <v>1289.5227050000001</v>
      </c>
      <c r="K391" s="131">
        <f t="shared" si="11"/>
        <v>-5.0259340728643796E-3</v>
      </c>
      <c r="P391" s="86">
        <v>361</v>
      </c>
      <c r="Q391" s="86">
        <v>-2.7270039482356076E-3</v>
      </c>
      <c r="R391" s="86">
        <v>-7.5628556189706831E-3</v>
      </c>
    </row>
    <row r="392" spans="2:18">
      <c r="B392" s="140">
        <v>45132</v>
      </c>
      <c r="C392" s="141">
        <v>19680.599609000001</v>
      </c>
      <c r="D392" s="142">
        <f t="shared" ref="D392:D455" si="12">(C392-C391)/C391</f>
        <v>4.1937034284027095E-4</v>
      </c>
      <c r="E392" s="50"/>
      <c r="I392" s="129">
        <v>45132</v>
      </c>
      <c r="J392" s="130">
        <v>1296.7823490000001</v>
      </c>
      <c r="K392" s="131">
        <f t="shared" ref="K392:K455" si="13">(J392-J391)/J391</f>
        <v>5.6297139801039639E-3</v>
      </c>
      <c r="P392" s="86">
        <v>362</v>
      </c>
      <c r="Q392" s="86">
        <v>2.6212330178177696E-3</v>
      </c>
      <c r="R392" s="86">
        <v>4.7463218224149178E-3</v>
      </c>
    </row>
    <row r="393" spans="2:18">
      <c r="B393" s="140">
        <v>45133</v>
      </c>
      <c r="C393" s="141">
        <v>19778.300781000002</v>
      </c>
      <c r="D393" s="142">
        <f t="shared" si="12"/>
        <v>4.9643391939807515E-3</v>
      </c>
      <c r="E393" s="50"/>
      <c r="I393" s="129">
        <v>45133</v>
      </c>
      <c r="J393" s="130">
        <v>1293.2022710000001</v>
      </c>
      <c r="K393" s="131">
        <f t="shared" si="13"/>
        <v>-2.760739304294739E-3</v>
      </c>
      <c r="P393" s="86">
        <v>363</v>
      </c>
      <c r="Q393" s="86">
        <v>1.7580141710069755E-3</v>
      </c>
      <c r="R393" s="86">
        <v>-7.2524957855519406E-3</v>
      </c>
    </row>
    <row r="394" spans="2:18">
      <c r="B394" s="140">
        <v>45134</v>
      </c>
      <c r="C394" s="141">
        <v>19659.900390999999</v>
      </c>
      <c r="D394" s="142">
        <f t="shared" si="12"/>
        <v>-5.9863782693477738E-3</v>
      </c>
      <c r="E394" s="50"/>
      <c r="I394" s="129">
        <v>45134</v>
      </c>
      <c r="J394" s="130">
        <v>1307.4729</v>
      </c>
      <c r="K394" s="131">
        <f t="shared" si="13"/>
        <v>1.1035109758170129E-2</v>
      </c>
      <c r="P394" s="86">
        <v>364</v>
      </c>
      <c r="Q394" s="86">
        <v>-3.3309198625807029E-3</v>
      </c>
      <c r="R394" s="86">
        <v>-7.1215025325570627E-3</v>
      </c>
    </row>
    <row r="395" spans="2:18">
      <c r="B395" s="140">
        <v>45135</v>
      </c>
      <c r="C395" s="141">
        <v>19646.050781000002</v>
      </c>
      <c r="D395" s="142">
        <f t="shared" si="12"/>
        <v>-7.0445982556135544E-4</v>
      </c>
      <c r="E395" s="50"/>
      <c r="I395" s="129">
        <v>45135</v>
      </c>
      <c r="J395" s="130">
        <v>1317.7655030000001</v>
      </c>
      <c r="K395" s="131">
        <f t="shared" si="13"/>
        <v>7.8721348641337795E-3</v>
      </c>
      <c r="P395" s="86">
        <v>365</v>
      </c>
      <c r="Q395" s="86">
        <v>-4.1653261450975854E-3</v>
      </c>
      <c r="R395" s="86">
        <v>-2.6353734437823483E-2</v>
      </c>
    </row>
    <row r="396" spans="2:18">
      <c r="B396" s="140">
        <v>45138</v>
      </c>
      <c r="C396" s="141">
        <v>19753.800781000002</v>
      </c>
      <c r="D396" s="142">
        <f t="shared" si="12"/>
        <v>5.4845628366290639E-3</v>
      </c>
      <c r="E396" s="50"/>
      <c r="I396" s="129">
        <v>45138</v>
      </c>
      <c r="J396" s="130">
        <v>1326.6660159999999</v>
      </c>
      <c r="K396" s="131">
        <f t="shared" si="13"/>
        <v>6.7542464723329594E-3</v>
      </c>
      <c r="P396" s="86">
        <v>366</v>
      </c>
      <c r="Q396" s="86">
        <v>1.1807825921570582E-3</v>
      </c>
      <c r="R396" s="86">
        <v>3.0605996975468651E-3</v>
      </c>
    </row>
    <row r="397" spans="2:18">
      <c r="B397" s="140">
        <v>45139</v>
      </c>
      <c r="C397" s="141">
        <v>19733.550781000002</v>
      </c>
      <c r="D397" s="142">
        <f t="shared" si="12"/>
        <v>-1.0251191770384391E-3</v>
      </c>
      <c r="E397" s="50"/>
      <c r="I397" s="129">
        <v>45139</v>
      </c>
      <c r="J397" s="130">
        <v>1313.688232</v>
      </c>
      <c r="K397" s="131">
        <f t="shared" si="13"/>
        <v>-9.7822540439597185E-3</v>
      </c>
      <c r="P397" s="86">
        <v>367</v>
      </c>
      <c r="Q397" s="86">
        <v>5.2797701338843164E-3</v>
      </c>
      <c r="R397" s="86">
        <v>-8.7671593269309026E-3</v>
      </c>
    </row>
    <row r="398" spans="2:18">
      <c r="B398" s="140">
        <v>45140</v>
      </c>
      <c r="C398" s="141">
        <v>19526.550781000002</v>
      </c>
      <c r="D398" s="142">
        <f t="shared" si="12"/>
        <v>-1.0489749275092712E-2</v>
      </c>
      <c r="E398" s="50"/>
      <c r="I398" s="129">
        <v>45140</v>
      </c>
      <c r="J398" s="130">
        <v>1304.8873289999999</v>
      </c>
      <c r="K398" s="131">
        <f t="shared" si="13"/>
        <v>-6.6993848202486312E-3</v>
      </c>
      <c r="P398" s="86">
        <v>368</v>
      </c>
      <c r="Q398" s="86">
        <v>6.4001467873607883E-3</v>
      </c>
      <c r="R398" s="86">
        <v>-3.6393996860658736E-3</v>
      </c>
    </row>
    <row r="399" spans="2:18">
      <c r="B399" s="140">
        <v>45141</v>
      </c>
      <c r="C399" s="141">
        <v>19381.650390999999</v>
      </c>
      <c r="D399" s="142">
        <f t="shared" si="12"/>
        <v>-7.4206853849987436E-3</v>
      </c>
      <c r="E399" s="50"/>
      <c r="I399" s="129">
        <v>45141</v>
      </c>
      <c r="J399" s="130">
        <v>1294.2464600000001</v>
      </c>
      <c r="K399" s="131">
        <f t="shared" si="13"/>
        <v>-8.1546266589579541E-3</v>
      </c>
      <c r="P399" s="86">
        <v>369</v>
      </c>
      <c r="Q399" s="86">
        <v>8.8512712146767546E-3</v>
      </c>
      <c r="R399" s="86">
        <v>-1.400848298049865E-2</v>
      </c>
    </row>
    <row r="400" spans="2:18">
      <c r="B400" s="140">
        <v>45142</v>
      </c>
      <c r="C400" s="141">
        <v>19517</v>
      </c>
      <c r="D400" s="142">
        <f t="shared" si="12"/>
        <v>6.983389250631169E-3</v>
      </c>
      <c r="E400" s="50"/>
      <c r="I400" s="129">
        <v>45142</v>
      </c>
      <c r="J400" s="130">
        <v>1306.677246</v>
      </c>
      <c r="K400" s="131">
        <f t="shared" si="13"/>
        <v>9.6046513428361228E-3</v>
      </c>
      <c r="P400" s="86">
        <v>370</v>
      </c>
      <c r="Q400" s="86">
        <v>5.4362456121250036E-3</v>
      </c>
      <c r="R400" s="86">
        <v>6.4421043676865779E-4</v>
      </c>
    </row>
    <row r="401" spans="2:18">
      <c r="B401" s="140">
        <v>45145</v>
      </c>
      <c r="C401" s="141">
        <v>19597.300781000002</v>
      </c>
      <c r="D401" s="142">
        <f t="shared" si="12"/>
        <v>4.1144018547933457E-3</v>
      </c>
      <c r="E401" s="50"/>
      <c r="I401" s="129">
        <v>45145</v>
      </c>
      <c r="J401" s="130">
        <v>1312.644043</v>
      </c>
      <c r="K401" s="131">
        <f t="shared" si="13"/>
        <v>4.5663893040654071E-3</v>
      </c>
      <c r="P401" s="86">
        <v>371</v>
      </c>
      <c r="Q401" s="86">
        <v>2.7533360241186323E-3</v>
      </c>
      <c r="R401" s="86">
        <v>-1.2864828361572787E-2</v>
      </c>
    </row>
    <row r="402" spans="2:18">
      <c r="B402" s="140">
        <v>45146</v>
      </c>
      <c r="C402" s="141">
        <v>19570.849609000001</v>
      </c>
      <c r="D402" s="142">
        <f t="shared" si="12"/>
        <v>-1.3497354710014923E-3</v>
      </c>
      <c r="E402" s="50"/>
      <c r="I402" s="129">
        <v>45146</v>
      </c>
      <c r="J402" s="130">
        <v>1316.2242429999999</v>
      </c>
      <c r="K402" s="131">
        <f t="shared" si="13"/>
        <v>2.7274720965612741E-3</v>
      </c>
      <c r="P402" s="86">
        <v>372</v>
      </c>
      <c r="Q402" s="86">
        <v>5.044692761025163E-4</v>
      </c>
      <c r="R402" s="86">
        <v>6.9707199100801894E-3</v>
      </c>
    </row>
    <row r="403" spans="2:18">
      <c r="B403" s="140">
        <v>45147</v>
      </c>
      <c r="C403" s="141">
        <v>19632.550781000002</v>
      </c>
      <c r="D403" s="142">
        <f t="shared" si="12"/>
        <v>3.1527078912111498E-3</v>
      </c>
      <c r="E403" s="50"/>
      <c r="I403" s="129">
        <v>45147</v>
      </c>
      <c r="J403" s="130">
        <v>1304.787842</v>
      </c>
      <c r="K403" s="131">
        <f t="shared" si="13"/>
        <v>-8.688793768099539E-3</v>
      </c>
      <c r="P403" s="86">
        <v>373</v>
      </c>
      <c r="Q403" s="86">
        <v>4.0148697263496539E-3</v>
      </c>
      <c r="R403" s="86">
        <v>1.280587754343971E-2</v>
      </c>
    </row>
    <row r="404" spans="2:18">
      <c r="B404" s="140">
        <v>45148</v>
      </c>
      <c r="C404" s="141">
        <v>19543.099609000001</v>
      </c>
      <c r="D404" s="142">
        <f t="shared" si="12"/>
        <v>-4.5562684644407008E-3</v>
      </c>
      <c r="E404" s="50"/>
      <c r="I404" s="129">
        <v>45148</v>
      </c>
      <c r="J404" s="130">
        <v>1283.755005</v>
      </c>
      <c r="K404" s="131">
        <f t="shared" si="13"/>
        <v>-1.6119737112020065E-2</v>
      </c>
      <c r="P404" s="86">
        <v>374</v>
      </c>
      <c r="Q404" s="86">
        <v>-6.3423271687601786E-3</v>
      </c>
      <c r="R404" s="86">
        <v>-1.226320216804274E-2</v>
      </c>
    </row>
    <row r="405" spans="2:18">
      <c r="B405" s="140">
        <v>45149</v>
      </c>
      <c r="C405" s="141">
        <v>19428.300781000002</v>
      </c>
      <c r="D405" s="142">
        <f t="shared" si="12"/>
        <v>-5.8741361553073098E-3</v>
      </c>
      <c r="E405" s="50"/>
      <c r="I405" s="129">
        <v>45149</v>
      </c>
      <c r="J405" s="130">
        <v>1293.64978</v>
      </c>
      <c r="K405" s="131">
        <f t="shared" si="13"/>
        <v>7.7076817316867885E-3</v>
      </c>
      <c r="P405" s="86">
        <v>375</v>
      </c>
      <c r="Q405" s="86">
        <v>1.0814934655126599E-3</v>
      </c>
      <c r="R405" s="86">
        <v>4.1738841712748685E-3</v>
      </c>
    </row>
    <row r="406" spans="2:18">
      <c r="B406" s="140">
        <v>45152</v>
      </c>
      <c r="C406" s="141">
        <v>19434.550781000002</v>
      </c>
      <c r="D406" s="142">
        <f t="shared" si="12"/>
        <v>3.2169565781646828E-4</v>
      </c>
      <c r="E406" s="50"/>
      <c r="I406" s="129">
        <v>45152</v>
      </c>
      <c r="J406" s="130">
        <v>1268.6389160000001</v>
      </c>
      <c r="K406" s="131">
        <f t="shared" si="13"/>
        <v>-1.933356646185945E-2</v>
      </c>
      <c r="P406" s="86">
        <v>376</v>
      </c>
      <c r="Q406" s="86">
        <v>3.420591359100591E-3</v>
      </c>
      <c r="R406" s="86">
        <v>9.358727769567924E-3</v>
      </c>
    </row>
    <row r="407" spans="2:18">
      <c r="B407" s="140">
        <v>45154</v>
      </c>
      <c r="C407" s="141">
        <v>19465</v>
      </c>
      <c r="D407" s="142">
        <f t="shared" si="12"/>
        <v>1.5667570268599492E-3</v>
      </c>
      <c r="E407" s="50"/>
      <c r="I407" s="129">
        <v>45154</v>
      </c>
      <c r="J407" s="130">
        <v>1262.8214109999999</v>
      </c>
      <c r="K407" s="131">
        <f t="shared" si="13"/>
        <v>-4.5856271052623215E-3</v>
      </c>
      <c r="P407" s="86">
        <v>377</v>
      </c>
      <c r="Q407" s="86">
        <v>-2.0306897626889424E-3</v>
      </c>
      <c r="R407" s="86">
        <v>-1.0931602192253441E-2</v>
      </c>
    </row>
    <row r="408" spans="2:18">
      <c r="B408" s="140">
        <v>45155</v>
      </c>
      <c r="C408" s="141">
        <v>19365.25</v>
      </c>
      <c r="D408" s="142">
        <f t="shared" si="12"/>
        <v>-5.124582584125353E-3</v>
      </c>
      <c r="E408" s="50"/>
      <c r="I408" s="129">
        <v>45155</v>
      </c>
      <c r="J408" s="130">
        <v>1289.125</v>
      </c>
      <c r="K408" s="131">
        <f t="shared" si="13"/>
        <v>2.0829223175089246E-2</v>
      </c>
      <c r="P408" s="86">
        <v>378</v>
      </c>
      <c r="Q408" s="86">
        <v>1.2893760391963602E-3</v>
      </c>
      <c r="R408" s="86">
        <v>-1.5545064385885779E-2</v>
      </c>
    </row>
    <row r="409" spans="2:18">
      <c r="B409" s="140">
        <v>45156</v>
      </c>
      <c r="C409" s="141">
        <v>19310.150390999999</v>
      </c>
      <c r="D409" s="142">
        <f t="shared" si="12"/>
        <v>-2.8452826067311698E-3</v>
      </c>
      <c r="E409" s="50"/>
      <c r="I409" s="129">
        <v>45156</v>
      </c>
      <c r="J409" s="130">
        <v>1279.03125</v>
      </c>
      <c r="K409" s="131">
        <f t="shared" si="13"/>
        <v>-7.8299233976534474E-3</v>
      </c>
      <c r="P409" s="86">
        <v>379</v>
      </c>
      <c r="Q409" s="86">
        <v>6.0524370285255326E-3</v>
      </c>
      <c r="R409" s="86">
        <v>5.8895660952331882E-4</v>
      </c>
    </row>
    <row r="410" spans="2:18">
      <c r="B410" s="140">
        <v>45159</v>
      </c>
      <c r="C410" s="141">
        <v>19393.599609000001</v>
      </c>
      <c r="D410" s="142">
        <f t="shared" si="12"/>
        <v>4.3215208742701074E-3</v>
      </c>
      <c r="E410" s="50"/>
      <c r="I410" s="129">
        <v>45159</v>
      </c>
      <c r="J410" s="130">
        <v>1283.2576899999999</v>
      </c>
      <c r="K410" s="131">
        <f t="shared" si="13"/>
        <v>3.3044071440787013E-3</v>
      </c>
      <c r="P410" s="86">
        <v>380</v>
      </c>
      <c r="Q410" s="86">
        <v>5.8586611535594805E-3</v>
      </c>
      <c r="R410" s="86">
        <v>8.0003899185472956E-3</v>
      </c>
    </row>
    <row r="411" spans="2:18">
      <c r="B411" s="140">
        <v>45160</v>
      </c>
      <c r="C411" s="141">
        <v>19396.449218999998</v>
      </c>
      <c r="D411" s="142">
        <f t="shared" si="12"/>
        <v>1.4693558996005377E-4</v>
      </c>
      <c r="E411" s="50"/>
      <c r="I411" s="129">
        <v>45160</v>
      </c>
      <c r="J411" s="130">
        <v>1311.9479980000001</v>
      </c>
      <c r="K411" s="131">
        <f t="shared" si="13"/>
        <v>2.235740196499441E-2</v>
      </c>
      <c r="P411" s="86">
        <v>381</v>
      </c>
      <c r="Q411" s="86">
        <v>1.5932509483876658E-3</v>
      </c>
      <c r="R411" s="86">
        <v>2.605413049803898E-2</v>
      </c>
    </row>
    <row r="412" spans="2:18">
      <c r="B412" s="140">
        <v>45161</v>
      </c>
      <c r="C412" s="141">
        <v>19444</v>
      </c>
      <c r="D412" s="142">
        <f t="shared" si="12"/>
        <v>2.4515198871256734E-3</v>
      </c>
      <c r="E412" s="50"/>
      <c r="I412" s="129">
        <v>45161</v>
      </c>
      <c r="J412" s="130">
        <v>1332.3842770000001</v>
      </c>
      <c r="K412" s="131">
        <f t="shared" si="13"/>
        <v>1.557704957144194E-2</v>
      </c>
      <c r="P412" s="86">
        <v>382</v>
      </c>
      <c r="Q412" s="86">
        <v>3.370528998765387E-3</v>
      </c>
      <c r="R412" s="86">
        <v>1.881171885305866E-2</v>
      </c>
    </row>
    <row r="413" spans="2:18">
      <c r="B413" s="140">
        <v>45162</v>
      </c>
      <c r="C413" s="141">
        <v>19386.699218999998</v>
      </c>
      <c r="D413" s="142">
        <f t="shared" si="12"/>
        <v>-2.9469646677639239E-3</v>
      </c>
      <c r="E413" s="50"/>
      <c r="I413" s="129">
        <v>45162</v>
      </c>
      <c r="J413" s="130">
        <v>1328.0086670000001</v>
      </c>
      <c r="K413" s="131">
        <f t="shared" si="13"/>
        <v>-3.284045057820846E-3</v>
      </c>
      <c r="P413" s="86">
        <v>383</v>
      </c>
      <c r="Q413" s="86">
        <v>5.7445767757265788E-3</v>
      </c>
      <c r="R413" s="86">
        <v>-1.7438197840360152E-2</v>
      </c>
    </row>
    <row r="414" spans="2:18">
      <c r="B414" s="140">
        <v>45163</v>
      </c>
      <c r="C414" s="141">
        <v>19265.800781000002</v>
      </c>
      <c r="D414" s="142">
        <f t="shared" si="12"/>
        <v>-6.2361537997922632E-3</v>
      </c>
      <c r="E414" s="50"/>
      <c r="I414" s="129">
        <v>45163</v>
      </c>
      <c r="J414" s="130">
        <v>1301.0585940000001</v>
      </c>
      <c r="K414" s="131">
        <f t="shared" si="13"/>
        <v>-2.0293597225446401E-2</v>
      </c>
      <c r="P414" s="86">
        <v>384</v>
      </c>
      <c r="Q414" s="86">
        <v>-8.806553451929303E-3</v>
      </c>
      <c r="R414" s="86">
        <v>-2.4426613897161595E-2</v>
      </c>
    </row>
    <row r="415" spans="2:18">
      <c r="B415" s="140">
        <v>45166</v>
      </c>
      <c r="C415" s="141">
        <v>19306.050781000002</v>
      </c>
      <c r="D415" s="142">
        <f t="shared" si="12"/>
        <v>2.0891942389280123E-3</v>
      </c>
      <c r="E415" s="50"/>
      <c r="I415" s="129">
        <v>45166</v>
      </c>
      <c r="J415" s="130">
        <v>1308.616577</v>
      </c>
      <c r="K415" s="131">
        <f t="shared" si="13"/>
        <v>5.8091027067147761E-3</v>
      </c>
      <c r="P415" s="86">
        <v>385</v>
      </c>
      <c r="Q415" s="86">
        <v>-2.6750820647508029E-3</v>
      </c>
      <c r="R415" s="86">
        <v>-2.3508520081135767E-3</v>
      </c>
    </row>
    <row r="416" spans="2:18">
      <c r="B416" s="140">
        <v>45167</v>
      </c>
      <c r="C416" s="141">
        <v>19342.650390999999</v>
      </c>
      <c r="D416" s="142">
        <f t="shared" si="12"/>
        <v>1.8957585067587667E-3</v>
      </c>
      <c r="E416" s="50"/>
      <c r="I416" s="129">
        <v>45167</v>
      </c>
      <c r="J416" s="130">
        <v>1331.4892580000001</v>
      </c>
      <c r="K416" s="131">
        <f t="shared" si="13"/>
        <v>1.7478519989740322E-2</v>
      </c>
      <c r="P416" s="86">
        <v>386</v>
      </c>
      <c r="Q416" s="86">
        <v>4.5063166325263576E-4</v>
      </c>
      <c r="R416" s="86">
        <v>5.1790823168513279E-3</v>
      </c>
    </row>
    <row r="417" spans="2:18">
      <c r="B417" s="140">
        <v>45168</v>
      </c>
      <c r="C417" s="141">
        <v>19347.449218999998</v>
      </c>
      <c r="D417" s="142">
        <f t="shared" si="12"/>
        <v>2.4809567990909402E-4</v>
      </c>
      <c r="E417" s="50"/>
      <c r="I417" s="129">
        <v>45168</v>
      </c>
      <c r="J417" s="130">
        <v>1346.455811</v>
      </c>
      <c r="K417" s="131">
        <f t="shared" si="13"/>
        <v>1.1240460942569599E-2</v>
      </c>
      <c r="P417" s="86">
        <v>387</v>
      </c>
      <c r="Q417" s="86">
        <v>3.916588121209698E-3</v>
      </c>
      <c r="R417" s="86">
        <v>-6.6773274255044375E-3</v>
      </c>
    </row>
    <row r="418" spans="2:18">
      <c r="B418" s="140">
        <v>45169</v>
      </c>
      <c r="C418" s="141">
        <v>19253.800781000002</v>
      </c>
      <c r="D418" s="142">
        <f t="shared" si="12"/>
        <v>-4.8403506291687217E-3</v>
      </c>
      <c r="E418" s="50"/>
      <c r="I418" s="129">
        <v>45169</v>
      </c>
      <c r="J418" s="130">
        <v>1376.886475</v>
      </c>
      <c r="K418" s="131">
        <f t="shared" si="13"/>
        <v>2.2600566428837655E-2</v>
      </c>
      <c r="P418" s="86">
        <v>388</v>
      </c>
      <c r="Q418" s="86">
        <v>-4.4343403789411026E-3</v>
      </c>
      <c r="R418" s="86">
        <v>1.5469450137111231E-2</v>
      </c>
    </row>
    <row r="419" spans="2:18">
      <c r="B419" s="140">
        <v>45170</v>
      </c>
      <c r="C419" s="141">
        <v>19435.300781000002</v>
      </c>
      <c r="D419" s="142">
        <f t="shared" si="12"/>
        <v>9.4267101890400506E-3</v>
      </c>
      <c r="E419" s="50"/>
      <c r="I419" s="129">
        <v>45170</v>
      </c>
      <c r="J419" s="130">
        <v>1370.124268</v>
      </c>
      <c r="K419" s="131">
        <f t="shared" si="13"/>
        <v>-4.9112306081734074E-3</v>
      </c>
      <c r="P419" s="86">
        <v>389</v>
      </c>
      <c r="Q419" s="86">
        <v>-4.0639212665544492E-4</v>
      </c>
      <c r="R419" s="86">
        <v>8.2785269907892246E-3</v>
      </c>
    </row>
    <row r="420" spans="2:18">
      <c r="B420" s="140">
        <v>45173</v>
      </c>
      <c r="C420" s="141">
        <v>19528.800781000002</v>
      </c>
      <c r="D420" s="142">
        <f t="shared" si="12"/>
        <v>4.8108337017045725E-3</v>
      </c>
      <c r="E420" s="50"/>
      <c r="I420" s="129">
        <v>45173</v>
      </c>
      <c r="J420" s="130">
        <v>1351.67688</v>
      </c>
      <c r="K420" s="131">
        <f t="shared" si="13"/>
        <v>-1.3464025439771311E-2</v>
      </c>
      <c r="P420" s="86">
        <v>390</v>
      </c>
      <c r="Q420" s="86">
        <v>4.313306460294996E-3</v>
      </c>
      <c r="R420" s="86">
        <v>2.4409400120379635E-3</v>
      </c>
    </row>
    <row r="421" spans="2:18">
      <c r="B421" s="140">
        <v>45174</v>
      </c>
      <c r="C421" s="141">
        <v>19574.900390999999</v>
      </c>
      <c r="D421" s="142">
        <f t="shared" si="12"/>
        <v>2.3605960507748539E-3</v>
      </c>
      <c r="E421" s="50"/>
      <c r="I421" s="129">
        <v>45174</v>
      </c>
      <c r="J421" s="130">
        <v>1351.875732</v>
      </c>
      <c r="K421" s="131">
        <f t="shared" si="13"/>
        <v>1.4711504128115887E-4</v>
      </c>
      <c r="P421" s="86">
        <v>391</v>
      </c>
      <c r="Q421" s="86">
        <v>-6.5092435260842097E-4</v>
      </c>
      <c r="R421" s="86">
        <v>-9.1313296913512979E-3</v>
      </c>
    </row>
    <row r="422" spans="2:18">
      <c r="B422" s="140">
        <v>45175</v>
      </c>
      <c r="C422" s="141">
        <v>19611.050781000002</v>
      </c>
      <c r="D422" s="142">
        <f t="shared" si="12"/>
        <v>1.8467726158455178E-3</v>
      </c>
      <c r="E422" s="50"/>
      <c r="I422" s="129">
        <v>45175</v>
      </c>
      <c r="J422" s="130">
        <v>1345.5111079999999</v>
      </c>
      <c r="K422" s="131">
        <f t="shared" si="13"/>
        <v>-4.7079948617644455E-3</v>
      </c>
      <c r="P422" s="86">
        <v>392</v>
      </c>
      <c r="Q422" s="86">
        <v>-7.8685746567011324E-3</v>
      </c>
      <c r="R422" s="86">
        <v>1.1691898364525012E-3</v>
      </c>
    </row>
    <row r="423" spans="2:18">
      <c r="B423" s="140">
        <v>45176</v>
      </c>
      <c r="C423" s="141">
        <v>19727.050781000002</v>
      </c>
      <c r="D423" s="142">
        <f t="shared" si="12"/>
        <v>5.9150323608557279E-3</v>
      </c>
      <c r="E423" s="50"/>
      <c r="I423" s="129">
        <v>45176</v>
      </c>
      <c r="J423" s="130">
        <v>1362.8148189999999</v>
      </c>
      <c r="K423" s="131">
        <f t="shared" si="13"/>
        <v>1.2860325639169693E-2</v>
      </c>
      <c r="P423" s="86">
        <v>393</v>
      </c>
      <c r="Q423" s="86">
        <v>-5.5281313757565807E-3</v>
      </c>
      <c r="R423" s="86">
        <v>-2.6264952832013733E-3</v>
      </c>
    </row>
    <row r="424" spans="2:18">
      <c r="B424" s="140">
        <v>45177</v>
      </c>
      <c r="C424" s="141">
        <v>19819.949218999998</v>
      </c>
      <c r="D424" s="142">
        <f t="shared" si="12"/>
        <v>4.7091903919804952E-3</v>
      </c>
      <c r="E424" s="50"/>
      <c r="I424" s="129">
        <v>45177</v>
      </c>
      <c r="J424" s="130">
        <v>1442.2229</v>
      </c>
      <c r="K424" s="131">
        <f t="shared" si="13"/>
        <v>5.8267697043584935E-2</v>
      </c>
      <c r="P424" s="86">
        <v>394</v>
      </c>
      <c r="Q424" s="86">
        <v>5.4562993518004373E-3</v>
      </c>
      <c r="R424" s="86">
        <v>4.1483519910356856E-3</v>
      </c>
    </row>
    <row r="425" spans="2:18">
      <c r="B425" s="140">
        <v>45180</v>
      </c>
      <c r="C425" s="141">
        <v>19996.349609000001</v>
      </c>
      <c r="D425" s="142">
        <f t="shared" si="12"/>
        <v>8.9001433884048405E-3</v>
      </c>
      <c r="E425" s="50"/>
      <c r="I425" s="129">
        <v>45180</v>
      </c>
      <c r="J425" s="130">
        <v>1438.0462649999999</v>
      </c>
      <c r="K425" s="131">
        <f t="shared" si="13"/>
        <v>-2.8959705188428453E-3</v>
      </c>
      <c r="P425" s="86">
        <v>395</v>
      </c>
      <c r="Q425" s="86">
        <v>3.2684327859148865E-3</v>
      </c>
      <c r="R425" s="86">
        <v>1.2979565181505206E-3</v>
      </c>
    </row>
    <row r="426" spans="2:18">
      <c r="B426" s="140">
        <v>45181</v>
      </c>
      <c r="C426" s="141">
        <v>19993.199218999998</v>
      </c>
      <c r="D426" s="142">
        <f t="shared" si="12"/>
        <v>-1.5754825563684796E-4</v>
      </c>
      <c r="E426" s="50"/>
      <c r="I426" s="129">
        <v>45181</v>
      </c>
      <c r="J426" s="130">
        <v>1408.759155</v>
      </c>
      <c r="K426" s="131">
        <f t="shared" si="13"/>
        <v>-2.0365902483672864E-2</v>
      </c>
      <c r="P426" s="86">
        <v>396</v>
      </c>
      <c r="Q426" s="86">
        <v>-8.9847411087288218E-4</v>
      </c>
      <c r="R426" s="86">
        <v>3.6259462074341563E-3</v>
      </c>
    </row>
    <row r="427" spans="2:18">
      <c r="B427" s="140">
        <v>45182</v>
      </c>
      <c r="C427" s="141">
        <v>20070</v>
      </c>
      <c r="D427" s="142">
        <f t="shared" si="12"/>
        <v>3.8413452573921327E-3</v>
      </c>
      <c r="E427" s="50"/>
      <c r="I427" s="129">
        <v>45182</v>
      </c>
      <c r="J427" s="130">
        <v>1390.759399</v>
      </c>
      <c r="K427" s="131">
        <f t="shared" si="13"/>
        <v>-1.2777028590099869E-2</v>
      </c>
      <c r="P427" s="86">
        <v>397</v>
      </c>
      <c r="Q427" s="86">
        <v>2.5350527534379577E-3</v>
      </c>
      <c r="R427" s="86">
        <v>-1.1223846521537496E-2</v>
      </c>
    </row>
    <row r="428" spans="2:18">
      <c r="B428" s="140">
        <v>45183</v>
      </c>
      <c r="C428" s="141">
        <v>20103.099609000001</v>
      </c>
      <c r="D428" s="142">
        <f t="shared" si="12"/>
        <v>1.649208221225749E-3</v>
      </c>
      <c r="E428" s="50"/>
      <c r="I428" s="129">
        <v>45183</v>
      </c>
      <c r="J428" s="130">
        <v>1384.195923</v>
      </c>
      <c r="K428" s="131">
        <f t="shared" si="13"/>
        <v>-4.7193468580686085E-3</v>
      </c>
      <c r="P428" s="86">
        <v>398</v>
      </c>
      <c r="Q428" s="86">
        <v>-3.3437502173250147E-3</v>
      </c>
      <c r="R428" s="86">
        <v>-1.277598689469505E-2</v>
      </c>
    </row>
    <row r="429" spans="2:18">
      <c r="B429" s="140">
        <v>45184</v>
      </c>
      <c r="C429" s="141">
        <v>20192.349609000001</v>
      </c>
      <c r="D429" s="142">
        <f t="shared" si="12"/>
        <v>4.4396138772571907E-3</v>
      </c>
      <c r="E429" s="50"/>
      <c r="I429" s="129">
        <v>45184</v>
      </c>
      <c r="J429" s="130">
        <v>1423.1292719999999</v>
      </c>
      <c r="K429" s="131">
        <f t="shared" si="13"/>
        <v>2.8127050768664855E-2</v>
      </c>
      <c r="P429" s="86">
        <v>399</v>
      </c>
      <c r="Q429" s="86">
        <v>-4.3487454512848482E-3</v>
      </c>
      <c r="R429" s="86">
        <v>1.2056427182971636E-2</v>
      </c>
    </row>
    <row r="430" spans="2:18">
      <c r="B430" s="140">
        <v>45187</v>
      </c>
      <c r="C430" s="141">
        <v>20133.300781000002</v>
      </c>
      <c r="D430" s="142">
        <f t="shared" si="12"/>
        <v>-2.924316839962012E-3</v>
      </c>
      <c r="E430" s="50"/>
      <c r="I430" s="129">
        <v>45187</v>
      </c>
      <c r="J430" s="130">
        <v>1418.0076899999999</v>
      </c>
      <c r="K430" s="131">
        <f t="shared" si="13"/>
        <v>-3.5988171283992741E-3</v>
      </c>
      <c r="P430" s="86">
        <v>400</v>
      </c>
      <c r="Q430" s="86">
        <v>3.7614573905268855E-4</v>
      </c>
      <c r="R430" s="86">
        <v>-1.9709712200912138E-2</v>
      </c>
    </row>
    <row r="431" spans="2:18">
      <c r="B431" s="140">
        <v>45189</v>
      </c>
      <c r="C431" s="141">
        <v>19901.400390999999</v>
      </c>
      <c r="D431" s="142">
        <f t="shared" si="12"/>
        <v>-1.1518249914532109E-2</v>
      </c>
      <c r="E431" s="50"/>
      <c r="I431" s="129">
        <v>45189</v>
      </c>
      <c r="J431" s="130">
        <v>1405.3779300000001</v>
      </c>
      <c r="K431" s="131">
        <f t="shared" si="13"/>
        <v>-8.9066935878181347E-3</v>
      </c>
      <c r="P431" s="86">
        <v>401</v>
      </c>
      <c r="Q431" s="86">
        <v>1.3256194612997086E-3</v>
      </c>
      <c r="R431" s="86">
        <v>-5.9112465665620301E-3</v>
      </c>
    </row>
    <row r="432" spans="2:18">
      <c r="B432" s="140">
        <v>45190</v>
      </c>
      <c r="C432" s="141">
        <v>19742.349609000001</v>
      </c>
      <c r="D432" s="142">
        <f t="shared" si="12"/>
        <v>-7.9919392040333961E-3</v>
      </c>
      <c r="E432" s="50"/>
      <c r="I432" s="129">
        <v>45190</v>
      </c>
      <c r="J432" s="130">
        <v>1405.5271</v>
      </c>
      <c r="K432" s="131">
        <f t="shared" si="13"/>
        <v>1.061422673685453E-4</v>
      </c>
      <c r="P432" s="86">
        <v>402</v>
      </c>
      <c r="Q432" s="86">
        <v>-3.7771419649439077E-3</v>
      </c>
      <c r="R432" s="86">
        <v>2.4606365140033153E-2</v>
      </c>
    </row>
    <row r="433" spans="2:18">
      <c r="B433" s="140">
        <v>45191</v>
      </c>
      <c r="C433" s="141">
        <v>19674.25</v>
      </c>
      <c r="D433" s="142">
        <f t="shared" si="12"/>
        <v>-3.4494176401858481E-3</v>
      </c>
      <c r="E433" s="50"/>
      <c r="I433" s="129">
        <v>45191</v>
      </c>
      <c r="J433" s="130">
        <v>1384.8919679999999</v>
      </c>
      <c r="K433" s="131">
        <f t="shared" si="13"/>
        <v>-1.468141880722194E-2</v>
      </c>
      <c r="P433" s="86">
        <v>403</v>
      </c>
      <c r="Q433" s="86">
        <v>-2.0389662513109305E-3</v>
      </c>
      <c r="R433" s="86">
        <v>-5.7909571463425173E-3</v>
      </c>
    </row>
    <row r="434" spans="2:18">
      <c r="B434" s="140">
        <v>45194</v>
      </c>
      <c r="C434" s="141">
        <v>19674.550781000002</v>
      </c>
      <c r="D434" s="142">
        <f t="shared" si="12"/>
        <v>1.528805418258558E-5</v>
      </c>
      <c r="E434" s="50"/>
      <c r="I434" s="129">
        <v>45194</v>
      </c>
      <c r="J434" s="130">
        <v>1389.0688479999999</v>
      </c>
      <c r="K434" s="131">
        <f t="shared" si="13"/>
        <v>3.0160330888712203E-3</v>
      </c>
      <c r="P434" s="86">
        <v>404</v>
      </c>
      <c r="Q434" s="86">
        <v>3.4263800737034666E-3</v>
      </c>
      <c r="R434" s="86">
        <v>-1.2197292962476533E-4</v>
      </c>
    </row>
    <row r="435" spans="2:18">
      <c r="B435" s="140">
        <v>45195</v>
      </c>
      <c r="C435" s="141">
        <v>19664.699218999998</v>
      </c>
      <c r="D435" s="142">
        <f t="shared" si="12"/>
        <v>-5.0072614666848026E-4</v>
      </c>
      <c r="E435" s="50"/>
      <c r="I435" s="129">
        <v>45195</v>
      </c>
      <c r="J435" s="130">
        <v>1392.052246</v>
      </c>
      <c r="K435" s="131">
        <f t="shared" si="13"/>
        <v>2.1477682724622442E-3</v>
      </c>
      <c r="P435" s="86">
        <v>405</v>
      </c>
      <c r="Q435" s="86">
        <v>2.4287512584970439E-4</v>
      </c>
      <c r="R435" s="86">
        <v>2.2114526839144704E-2</v>
      </c>
    </row>
    <row r="436" spans="2:18">
      <c r="B436" s="140">
        <v>45196</v>
      </c>
      <c r="C436" s="141">
        <v>19716.449218999998</v>
      </c>
      <c r="D436" s="142">
        <f t="shared" si="12"/>
        <v>2.631619198629758E-3</v>
      </c>
      <c r="E436" s="50"/>
      <c r="I436" s="129">
        <v>45196</v>
      </c>
      <c r="J436" s="130">
        <v>1398.8642580000001</v>
      </c>
      <c r="K436" s="131">
        <f t="shared" si="13"/>
        <v>4.8935031135319152E-3</v>
      </c>
      <c r="P436" s="86">
        <v>406</v>
      </c>
      <c r="Q436" s="86">
        <v>2.0003324570838383E-3</v>
      </c>
      <c r="R436" s="86">
        <v>1.3576717114358101E-2</v>
      </c>
    </row>
    <row r="437" spans="2:18">
      <c r="B437" s="140">
        <v>45197</v>
      </c>
      <c r="C437" s="141">
        <v>19523.550781000002</v>
      </c>
      <c r="D437" s="142">
        <f t="shared" si="12"/>
        <v>-9.783629692009025E-3</v>
      </c>
      <c r="E437" s="50"/>
      <c r="I437" s="129">
        <v>45197</v>
      </c>
      <c r="J437" s="130">
        <v>1367.5385739999999</v>
      </c>
      <c r="K437" s="131">
        <f t="shared" si="13"/>
        <v>-2.2393655296324068E-2</v>
      </c>
      <c r="P437" s="86">
        <v>407</v>
      </c>
      <c r="Q437" s="86">
        <v>-2.1165081680187695E-3</v>
      </c>
      <c r="R437" s="86">
        <v>-1.1675368898020765E-3</v>
      </c>
    </row>
    <row r="438" spans="2:18">
      <c r="B438" s="140">
        <v>45198</v>
      </c>
      <c r="C438" s="141">
        <v>19638.300781000002</v>
      </c>
      <c r="D438" s="142">
        <f t="shared" si="12"/>
        <v>5.8775169172440092E-3</v>
      </c>
      <c r="E438" s="50"/>
      <c r="I438" s="129">
        <v>45198</v>
      </c>
      <c r="J438" s="130">
        <v>1381.2620850000001</v>
      </c>
      <c r="K438" s="131">
        <f t="shared" si="13"/>
        <v>1.0035191153591654E-2</v>
      </c>
      <c r="P438" s="86">
        <v>408</v>
      </c>
      <c r="Q438" s="86">
        <v>-4.624817176723005E-3</v>
      </c>
      <c r="R438" s="86">
        <v>-1.5668780048723397E-2</v>
      </c>
    </row>
    <row r="439" spans="2:18">
      <c r="B439" s="140">
        <v>45202</v>
      </c>
      <c r="C439" s="141">
        <v>19528.75</v>
      </c>
      <c r="D439" s="142">
        <f t="shared" si="12"/>
        <v>-5.5784246418097332E-3</v>
      </c>
      <c r="E439" s="50"/>
      <c r="I439" s="129">
        <v>45202</v>
      </c>
      <c r="J439" s="130">
        <v>1380.019043</v>
      </c>
      <c r="K439" s="131">
        <f t="shared" si="13"/>
        <v>-8.999320357078066E-4</v>
      </c>
      <c r="P439" s="86">
        <v>409</v>
      </c>
      <c r="Q439" s="86">
        <v>1.7240258505074172E-3</v>
      </c>
      <c r="R439" s="86">
        <v>4.0850768562073585E-3</v>
      </c>
    </row>
    <row r="440" spans="2:18">
      <c r="B440" s="140">
        <v>45203</v>
      </c>
      <c r="C440" s="141">
        <v>19436.099609000001</v>
      </c>
      <c r="D440" s="142">
        <f t="shared" si="12"/>
        <v>-4.7443072905331484E-3</v>
      </c>
      <c r="E440" s="50"/>
      <c r="I440" s="129">
        <v>45203</v>
      </c>
      <c r="J440" s="130">
        <v>1385.886475</v>
      </c>
      <c r="K440" s="131">
        <f t="shared" si="13"/>
        <v>4.2517036484111823E-3</v>
      </c>
      <c r="P440" s="86">
        <v>410</v>
      </c>
      <c r="Q440" s="86">
        <v>1.5765133268641771E-3</v>
      </c>
      <c r="R440" s="86">
        <v>1.5902006662876146E-2</v>
      </c>
    </row>
    <row r="441" spans="2:18">
      <c r="B441" s="140">
        <v>45204</v>
      </c>
      <c r="C441" s="141">
        <v>19545.75</v>
      </c>
      <c r="D441" s="142">
        <f t="shared" si="12"/>
        <v>5.6415841246885232E-3</v>
      </c>
      <c r="E441" s="50"/>
      <c r="I441" s="129">
        <v>45204</v>
      </c>
      <c r="J441" s="130">
        <v>1403.5382079999999</v>
      </c>
      <c r="K441" s="131">
        <f t="shared" si="13"/>
        <v>1.2736781344229455E-2</v>
      </c>
      <c r="P441" s="86">
        <v>411</v>
      </c>
      <c r="Q441" s="86">
        <v>3.2001899163404575E-4</v>
      </c>
      <c r="R441" s="86">
        <v>1.0920441950935554E-2</v>
      </c>
    </row>
    <row r="442" spans="2:18">
      <c r="B442" s="140">
        <v>45205</v>
      </c>
      <c r="C442" s="141">
        <v>19653.5</v>
      </c>
      <c r="D442" s="142">
        <f t="shared" si="12"/>
        <v>5.512707366051443E-3</v>
      </c>
      <c r="E442" s="50"/>
      <c r="I442" s="129">
        <v>45205</v>
      </c>
      <c r="J442" s="130">
        <v>1391.7041019999999</v>
      </c>
      <c r="K442" s="131">
        <f t="shared" si="13"/>
        <v>-8.4316236868701051E-3</v>
      </c>
      <c r="P442" s="86">
        <v>412</v>
      </c>
      <c r="Q442" s="86">
        <v>-3.5603889767265085E-3</v>
      </c>
      <c r="R442" s="86">
        <v>2.6160955405564165E-2</v>
      </c>
    </row>
    <row r="443" spans="2:18">
      <c r="B443" s="140">
        <v>45208</v>
      </c>
      <c r="C443" s="141">
        <v>19512.349609000001</v>
      </c>
      <c r="D443" s="142">
        <f t="shared" si="12"/>
        <v>-7.1819467779275555E-3</v>
      </c>
      <c r="E443" s="50"/>
      <c r="I443" s="129">
        <v>45208</v>
      </c>
      <c r="J443" s="130">
        <v>1376.886475</v>
      </c>
      <c r="K443" s="131">
        <f t="shared" si="13"/>
        <v>-1.0647110243266282E-2</v>
      </c>
      <c r="P443" s="86">
        <v>413</v>
      </c>
      <c r="Q443" s="86">
        <v>7.3195561226834689E-3</v>
      </c>
      <c r="R443" s="86">
        <v>-1.2230786730856875E-2</v>
      </c>
    </row>
    <row r="444" spans="2:18">
      <c r="B444" s="140">
        <v>45209</v>
      </c>
      <c r="C444" s="141">
        <v>19689.849609000001</v>
      </c>
      <c r="D444" s="142">
        <f t="shared" si="12"/>
        <v>9.0968029764149343E-3</v>
      </c>
      <c r="E444" s="50"/>
      <c r="I444" s="129">
        <v>45209</v>
      </c>
      <c r="J444" s="130">
        <v>1391.654419</v>
      </c>
      <c r="K444" s="131">
        <f t="shared" si="13"/>
        <v>1.0725607570515168E-2</v>
      </c>
      <c r="P444" s="86">
        <v>414</v>
      </c>
      <c r="Q444" s="86">
        <v>3.7995260753052483E-3</v>
      </c>
      <c r="R444" s="86">
        <v>-1.726355151507656E-2</v>
      </c>
    </row>
    <row r="445" spans="2:18">
      <c r="B445" s="140">
        <v>45210</v>
      </c>
      <c r="C445" s="141">
        <v>19811.349609000001</v>
      </c>
      <c r="D445" s="142">
        <f t="shared" si="12"/>
        <v>6.1706921288247809E-3</v>
      </c>
      <c r="E445" s="50"/>
      <c r="I445" s="129">
        <v>45210</v>
      </c>
      <c r="J445" s="130">
        <v>1383.2510990000001</v>
      </c>
      <c r="K445" s="131">
        <f t="shared" si="13"/>
        <v>-6.0383669144228073E-3</v>
      </c>
      <c r="P445" s="86">
        <v>415</v>
      </c>
      <c r="Q445" s="86">
        <v>1.9309946754391357E-3</v>
      </c>
      <c r="R445" s="86">
        <v>-1.7838796341579769E-3</v>
      </c>
    </row>
    <row r="446" spans="2:18">
      <c r="B446" s="140">
        <v>45211</v>
      </c>
      <c r="C446" s="141">
        <v>19794</v>
      </c>
      <c r="D446" s="142">
        <f t="shared" si="12"/>
        <v>-8.7574089309489108E-4</v>
      </c>
      <c r="E446" s="50"/>
      <c r="I446" s="129">
        <v>45211</v>
      </c>
      <c r="J446" s="130">
        <v>1380.41687</v>
      </c>
      <c r="K446" s="131">
        <f t="shared" si="13"/>
        <v>-2.0489620445984192E-3</v>
      </c>
      <c r="P446" s="86">
        <v>416</v>
      </c>
      <c r="Q446" s="86">
        <v>1.5391570829557176E-3</v>
      </c>
      <c r="R446" s="86">
        <v>-6.2471519447201626E-3</v>
      </c>
    </row>
    <row r="447" spans="2:18">
      <c r="B447" s="140">
        <v>45212</v>
      </c>
      <c r="C447" s="141">
        <v>19751.050781000002</v>
      </c>
      <c r="D447" s="142">
        <f t="shared" si="12"/>
        <v>-2.1698099929270622E-3</v>
      </c>
      <c r="E447" s="50"/>
      <c r="I447" s="129">
        <v>45212</v>
      </c>
      <c r="J447" s="130">
        <v>1383.3007809999999</v>
      </c>
      <c r="K447" s="131">
        <f t="shared" si="13"/>
        <v>2.0891594870177861E-3</v>
      </c>
      <c r="P447" s="86">
        <v>417</v>
      </c>
      <c r="Q447" s="86">
        <v>4.6415790351604369E-3</v>
      </c>
      <c r="R447" s="86">
        <v>8.2187466040092565E-3</v>
      </c>
    </row>
    <row r="448" spans="2:18">
      <c r="B448" s="140">
        <v>45215</v>
      </c>
      <c r="C448" s="141">
        <v>19731.75</v>
      </c>
      <c r="D448" s="142">
        <f t="shared" si="12"/>
        <v>-9.7720274298360795E-4</v>
      </c>
      <c r="E448" s="50"/>
      <c r="I448" s="129">
        <v>45215</v>
      </c>
      <c r="J448" s="130">
        <v>1406.422241</v>
      </c>
      <c r="K448" s="131">
        <f t="shared" si="13"/>
        <v>1.6714701760874716E-2</v>
      </c>
      <c r="P448" s="86">
        <v>418</v>
      </c>
      <c r="Q448" s="86">
        <v>3.7220137100317449E-3</v>
      </c>
      <c r="R448" s="86">
        <v>5.454568333355319E-2</v>
      </c>
    </row>
    <row r="449" spans="2:18">
      <c r="B449" s="140">
        <v>45216</v>
      </c>
      <c r="C449" s="141">
        <v>19811.5</v>
      </c>
      <c r="D449" s="142">
        <f t="shared" si="12"/>
        <v>4.0417094276990126E-3</v>
      </c>
      <c r="E449" s="50"/>
      <c r="I449" s="129">
        <v>45216</v>
      </c>
      <c r="J449" s="130">
        <v>1376.389404</v>
      </c>
      <c r="K449" s="131">
        <f t="shared" si="13"/>
        <v>-2.1354068589420135E-2</v>
      </c>
      <c r="P449" s="86">
        <v>419</v>
      </c>
      <c r="Q449" s="86">
        <v>6.918000542660202E-3</v>
      </c>
      <c r="R449" s="86">
        <v>-9.8139710615030469E-3</v>
      </c>
    </row>
    <row r="450" spans="2:18">
      <c r="B450" s="140">
        <v>45217</v>
      </c>
      <c r="C450" s="141">
        <v>19671.099609000001</v>
      </c>
      <c r="D450" s="142">
        <f t="shared" si="12"/>
        <v>-7.0868127602654631E-3</v>
      </c>
      <c r="E450" s="50"/>
      <c r="I450" s="129">
        <v>45217</v>
      </c>
      <c r="J450" s="130">
        <v>1332.9311520000001</v>
      </c>
      <c r="K450" s="131">
        <f t="shared" si="13"/>
        <v>-3.1574096599191706E-2</v>
      </c>
      <c r="P450" s="86">
        <v>420</v>
      </c>
      <c r="Q450" s="86">
        <v>1.0678209753048082E-5</v>
      </c>
      <c r="R450" s="86">
        <v>-2.0376580693425912E-2</v>
      </c>
    </row>
    <row r="451" spans="2:18">
      <c r="B451" s="140">
        <v>45218</v>
      </c>
      <c r="C451" s="141">
        <v>19624.699218999998</v>
      </c>
      <c r="D451" s="142">
        <f t="shared" si="12"/>
        <v>-2.3588101795170222E-3</v>
      </c>
      <c r="E451" s="50"/>
      <c r="I451" s="129">
        <v>45218</v>
      </c>
      <c r="J451" s="130">
        <v>1355.1573490000001</v>
      </c>
      <c r="K451" s="131">
        <f t="shared" si="13"/>
        <v>1.6674677433002147E-2</v>
      </c>
      <c r="P451" s="86">
        <v>421</v>
      </c>
      <c r="Q451" s="86">
        <v>3.060202034913583E-3</v>
      </c>
      <c r="R451" s="86">
        <v>-1.5837230625013451E-2</v>
      </c>
    </row>
    <row r="452" spans="2:18">
      <c r="B452" s="140">
        <v>45219</v>
      </c>
      <c r="C452" s="141">
        <v>19542.650390999999</v>
      </c>
      <c r="D452" s="142">
        <f t="shared" si="12"/>
        <v>-4.1808960781708204E-3</v>
      </c>
      <c r="E452" s="50"/>
      <c r="I452" s="129">
        <v>45219</v>
      </c>
      <c r="J452" s="130">
        <v>1285.7935789999999</v>
      </c>
      <c r="K452" s="131">
        <f t="shared" si="13"/>
        <v>-5.1185030322261238E-2</v>
      </c>
      <c r="P452" s="86">
        <v>422</v>
      </c>
      <c r="Q452" s="86">
        <v>1.3884960747459606E-3</v>
      </c>
      <c r="R452" s="86">
        <v>-6.1078429328145691E-3</v>
      </c>
    </row>
    <row r="453" spans="2:18">
      <c r="B453" s="140">
        <v>45222</v>
      </c>
      <c r="C453" s="141">
        <v>19281.75</v>
      </c>
      <c r="D453" s="142">
        <f t="shared" si="12"/>
        <v>-1.3350307444488287E-2</v>
      </c>
      <c r="E453" s="50"/>
      <c r="I453" s="129">
        <v>45222</v>
      </c>
      <c r="J453" s="130">
        <v>1277.6885990000001</v>
      </c>
      <c r="K453" s="131">
        <f t="shared" si="13"/>
        <v>-6.3034845813301748E-3</v>
      </c>
      <c r="P453" s="86">
        <v>423</v>
      </c>
      <c r="Q453" s="86">
        <v>3.5164368419121016E-3</v>
      </c>
      <c r="R453" s="86">
        <v>2.4610613926752754E-2</v>
      </c>
    </row>
    <row r="454" spans="2:18">
      <c r="B454" s="140">
        <v>45224</v>
      </c>
      <c r="C454" s="141">
        <v>19122.150390999999</v>
      </c>
      <c r="D454" s="142">
        <f t="shared" si="12"/>
        <v>-8.277236713472625E-3</v>
      </c>
      <c r="E454" s="50"/>
      <c r="I454" s="129">
        <v>45224</v>
      </c>
      <c r="J454" s="130">
        <v>1260.1363530000001</v>
      </c>
      <c r="K454" s="131">
        <f t="shared" si="13"/>
        <v>-1.3737499116558969E-2</v>
      </c>
      <c r="P454" s="86">
        <v>424</v>
      </c>
      <c r="Q454" s="86">
        <v>-2.0992371178532574E-3</v>
      </c>
      <c r="R454" s="86">
        <v>-1.4995800105460167E-3</v>
      </c>
    </row>
    <row r="455" spans="2:18">
      <c r="B455" s="140">
        <v>45225</v>
      </c>
      <c r="C455" s="141">
        <v>18857.25</v>
      </c>
      <c r="D455" s="142">
        <f t="shared" si="12"/>
        <v>-1.3853064931686596E-2</v>
      </c>
      <c r="E455" s="50"/>
      <c r="I455" s="129">
        <v>45225</v>
      </c>
      <c r="J455" s="130">
        <v>1259.8876949999999</v>
      </c>
      <c r="K455" s="131">
        <f t="shared" si="13"/>
        <v>-1.9732626505713146E-4</v>
      </c>
      <c r="P455" s="86">
        <v>425</v>
      </c>
      <c r="Q455" s="86">
        <v>-8.6529009194396406E-3</v>
      </c>
      <c r="R455" s="86">
        <v>-2.5379266837849412E-4</v>
      </c>
    </row>
    <row r="456" spans="2:18">
      <c r="B456" s="140">
        <v>45226</v>
      </c>
      <c r="C456" s="141">
        <v>19047.25</v>
      </c>
      <c r="D456" s="142">
        <f t="shared" ref="D456:D519" si="14">(C456-C455)/C455</f>
        <v>1.007570032746026E-2</v>
      </c>
      <c r="E456" s="50"/>
      <c r="I456" s="129">
        <v>45226</v>
      </c>
      <c r="J456" s="130">
        <v>1252.926514</v>
      </c>
      <c r="K456" s="131">
        <f t="shared" ref="K456:K519" si="15">(J456-J455)/J455</f>
        <v>-5.5252392952372612E-3</v>
      </c>
      <c r="P456" s="86">
        <v>426</v>
      </c>
      <c r="Q456" s="86">
        <v>-5.963764914305246E-3</v>
      </c>
      <c r="R456" s="86">
        <v>6.0699071816737908E-3</v>
      </c>
    </row>
    <row r="457" spans="2:18">
      <c r="B457" s="140">
        <v>45229</v>
      </c>
      <c r="C457" s="141">
        <v>19140.900390999999</v>
      </c>
      <c r="D457" s="142">
        <f t="shared" si="14"/>
        <v>4.9167407893527526E-3</v>
      </c>
      <c r="E457" s="50"/>
      <c r="I457" s="129">
        <v>45229</v>
      </c>
      <c r="J457" s="130">
        <v>1262.025879</v>
      </c>
      <c r="K457" s="131">
        <f t="shared" si="15"/>
        <v>7.2624889794614357E-3</v>
      </c>
      <c r="P457" s="86">
        <v>427</v>
      </c>
      <c r="Q457" s="86">
        <v>-2.4996747378289224E-3</v>
      </c>
      <c r="R457" s="86">
        <v>-1.2181744069393017E-2</v>
      </c>
    </row>
    <row r="458" spans="2:18">
      <c r="B458" s="140">
        <v>45230</v>
      </c>
      <c r="C458" s="141">
        <v>19079.599609000001</v>
      </c>
      <c r="D458" s="142">
        <f t="shared" si="14"/>
        <v>-3.2026070220198158E-3</v>
      </c>
      <c r="E458" s="50"/>
      <c r="I458" s="129">
        <v>45230</v>
      </c>
      <c r="J458" s="130">
        <v>1239.252563</v>
      </c>
      <c r="K458" s="131">
        <f t="shared" si="15"/>
        <v>-1.8045046760883438E-2</v>
      </c>
      <c r="P458" s="86">
        <v>428</v>
      </c>
      <c r="Q458" s="86">
        <v>1.4248178064832801E-4</v>
      </c>
      <c r="R458" s="86">
        <v>2.8735513082228923E-3</v>
      </c>
    </row>
    <row r="459" spans="2:18">
      <c r="B459" s="140">
        <v>45231</v>
      </c>
      <c r="C459" s="141">
        <v>18989.150390999999</v>
      </c>
      <c r="D459" s="142">
        <f t="shared" si="14"/>
        <v>-4.7406245337211347E-3</v>
      </c>
      <c r="E459" s="50"/>
      <c r="I459" s="129">
        <v>45231</v>
      </c>
      <c r="J459" s="130">
        <v>1233.8824460000001</v>
      </c>
      <c r="K459" s="131">
        <f t="shared" si="15"/>
        <v>-4.3333515381238199E-3</v>
      </c>
      <c r="P459" s="86">
        <v>429</v>
      </c>
      <c r="Q459" s="86">
        <v>-2.5102647219448648E-4</v>
      </c>
      <c r="R459" s="86">
        <v>2.3987947446567305E-3</v>
      </c>
    </row>
    <row r="460" spans="2:18">
      <c r="B460" s="140">
        <v>45232</v>
      </c>
      <c r="C460" s="141">
        <v>19133.25</v>
      </c>
      <c r="D460" s="142">
        <f t="shared" si="14"/>
        <v>7.5885232373691398E-3</v>
      </c>
      <c r="E460" s="50"/>
      <c r="I460" s="129">
        <v>45232</v>
      </c>
      <c r="J460" s="130">
        <v>1258.9926760000001</v>
      </c>
      <c r="K460" s="131">
        <f t="shared" si="15"/>
        <v>2.0350585326343155E-2</v>
      </c>
      <c r="P460" s="86">
        <v>430</v>
      </c>
      <c r="Q460" s="86">
        <v>2.1376747342755878E-3</v>
      </c>
      <c r="R460" s="86">
        <v>2.7558283792563274E-3</v>
      </c>
    </row>
    <row r="461" spans="2:18">
      <c r="B461" s="140">
        <v>45233</v>
      </c>
      <c r="C461" s="141">
        <v>19230.599609000001</v>
      </c>
      <c r="D461" s="142">
        <f t="shared" si="14"/>
        <v>5.0879808187318295E-3</v>
      </c>
      <c r="E461" s="50"/>
      <c r="I461" s="129">
        <v>45233</v>
      </c>
      <c r="J461" s="130">
        <v>1263.964966</v>
      </c>
      <c r="K461" s="131">
        <f t="shared" si="15"/>
        <v>3.9494193213240976E-3</v>
      </c>
      <c r="P461" s="86">
        <v>431</v>
      </c>
      <c r="Q461" s="86">
        <v>-7.330093578120203E-3</v>
      </c>
      <c r="R461" s="86">
        <v>-1.5063561718203864E-2</v>
      </c>
    </row>
    <row r="462" spans="2:18">
      <c r="B462" s="140">
        <v>45236</v>
      </c>
      <c r="C462" s="141">
        <v>19411.75</v>
      </c>
      <c r="D462" s="142">
        <f t="shared" si="14"/>
        <v>9.4199034186755199E-3</v>
      </c>
      <c r="E462" s="50"/>
      <c r="I462" s="129">
        <v>45236</v>
      </c>
      <c r="J462" s="130">
        <v>1255.5120850000001</v>
      </c>
      <c r="K462" s="131">
        <f t="shared" si="15"/>
        <v>-6.6875912128722195E-3</v>
      </c>
      <c r="P462" s="86">
        <v>432</v>
      </c>
      <c r="Q462" s="86">
        <v>4.6129700615199394E-3</v>
      </c>
      <c r="R462" s="86">
        <v>5.4222210920717145E-3</v>
      </c>
    </row>
    <row r="463" spans="2:18">
      <c r="B463" s="140">
        <v>45237</v>
      </c>
      <c r="C463" s="141">
        <v>19406.699218999998</v>
      </c>
      <c r="D463" s="142">
        <f t="shared" si="14"/>
        <v>-2.6019194560004814E-4</v>
      </c>
      <c r="E463" s="50"/>
      <c r="I463" s="129">
        <v>45237</v>
      </c>
      <c r="J463" s="130">
        <v>1246.064697</v>
      </c>
      <c r="K463" s="131">
        <f t="shared" si="15"/>
        <v>-7.5247288440079378E-3</v>
      </c>
      <c r="P463" s="86">
        <v>433</v>
      </c>
      <c r="Q463" s="86">
        <v>-4.1232382446420579E-3</v>
      </c>
      <c r="R463" s="86">
        <v>3.2233062089342514E-3</v>
      </c>
    </row>
    <row r="464" spans="2:18">
      <c r="B464" s="140">
        <v>45238</v>
      </c>
      <c r="C464" s="141">
        <v>19443.5</v>
      </c>
      <c r="D464" s="142">
        <f t="shared" si="14"/>
        <v>1.8962926453753753E-3</v>
      </c>
      <c r="E464" s="50"/>
      <c r="I464" s="129">
        <v>45238</v>
      </c>
      <c r="J464" s="130">
        <v>1245.119995</v>
      </c>
      <c r="K464" s="131">
        <f t="shared" si="15"/>
        <v>-7.5814843504871932E-4</v>
      </c>
      <c r="P464" s="86">
        <v>434</v>
      </c>
      <c r="Q464" s="86">
        <v>-3.4871471040777684E-3</v>
      </c>
      <c r="R464" s="86">
        <v>7.7388507524889507E-3</v>
      </c>
    </row>
    <row r="465" spans="2:18">
      <c r="B465" s="140">
        <v>45239</v>
      </c>
      <c r="C465" s="141">
        <v>19395.300781000002</v>
      </c>
      <c r="D465" s="142">
        <f t="shared" si="14"/>
        <v>-2.4789373826727833E-3</v>
      </c>
      <c r="E465" s="50"/>
      <c r="I465" s="129">
        <v>45239</v>
      </c>
      <c r="J465" s="130">
        <v>1246.2138669999999</v>
      </c>
      <c r="K465" s="131">
        <f t="shared" si="15"/>
        <v>8.7852737438363871E-4</v>
      </c>
      <c r="P465" s="86">
        <v>435</v>
      </c>
      <c r="Q465" s="86">
        <v>4.4330496236061933E-3</v>
      </c>
      <c r="R465" s="86">
        <v>8.3037317206232607E-3</v>
      </c>
    </row>
    <row r="466" spans="2:18">
      <c r="B466" s="140">
        <v>45240</v>
      </c>
      <c r="C466" s="141">
        <v>19425.349609000001</v>
      </c>
      <c r="D466" s="142">
        <f t="shared" si="14"/>
        <v>1.5492839394084283E-3</v>
      </c>
      <c r="E466" s="50"/>
      <c r="I466" s="129">
        <v>45240</v>
      </c>
      <c r="J466" s="130">
        <v>1250.4404300000001</v>
      </c>
      <c r="K466" s="131">
        <f t="shared" si="15"/>
        <v>3.3915230057379626E-3</v>
      </c>
      <c r="P466" s="86">
        <v>436</v>
      </c>
      <c r="Q466" s="86">
        <v>4.3347692506248304E-3</v>
      </c>
      <c r="R466" s="86">
        <v>-1.2766392937494936E-2</v>
      </c>
    </row>
    <row r="467" spans="2:18">
      <c r="B467" s="140">
        <v>45243</v>
      </c>
      <c r="C467" s="141">
        <v>19443.550781000002</v>
      </c>
      <c r="D467" s="142">
        <f t="shared" si="14"/>
        <v>9.3698040788764631E-4</v>
      </c>
      <c r="E467" s="50"/>
      <c r="I467" s="129">
        <v>45243</v>
      </c>
      <c r="J467" s="130">
        <v>1243.7773440000001</v>
      </c>
      <c r="K467" s="131">
        <f t="shared" si="15"/>
        <v>-5.328591302826014E-3</v>
      </c>
      <c r="P467" s="86">
        <v>437</v>
      </c>
      <c r="Q467" s="86">
        <v>-5.3460712464040066E-3</v>
      </c>
      <c r="R467" s="86">
        <v>-5.3010389968622751E-3</v>
      </c>
    </row>
    <row r="468" spans="2:18">
      <c r="B468" s="140">
        <v>45245</v>
      </c>
      <c r="C468" s="141">
        <v>19675.449218999998</v>
      </c>
      <c r="D468" s="142">
        <f t="shared" si="14"/>
        <v>1.1926753534472975E-2</v>
      </c>
      <c r="E468" s="50"/>
      <c r="I468" s="129">
        <v>45245</v>
      </c>
      <c r="J468" s="130">
        <v>1255.0645750000001</v>
      </c>
      <c r="K468" s="131">
        <f t="shared" si="15"/>
        <v>9.0749610888554814E-3</v>
      </c>
      <c r="P468" s="86">
        <v>438</v>
      </c>
      <c r="Q468" s="86">
        <v>7.067971552673114E-3</v>
      </c>
      <c r="R468" s="86">
        <v>3.6576360178420539E-3</v>
      </c>
    </row>
    <row r="469" spans="2:18">
      <c r="B469" s="140">
        <v>45246</v>
      </c>
      <c r="C469" s="141">
        <v>19765.199218999998</v>
      </c>
      <c r="D469" s="142">
        <f t="shared" si="14"/>
        <v>4.5615222809414222E-3</v>
      </c>
      <c r="E469" s="50"/>
      <c r="I469" s="129">
        <v>45246</v>
      </c>
      <c r="J469" s="130">
        <v>1272.0699460000001</v>
      </c>
      <c r="K469" s="131">
        <f t="shared" si="15"/>
        <v>1.3549399241070896E-2</v>
      </c>
      <c r="P469" s="86">
        <v>439</v>
      </c>
      <c r="Q469" s="86">
        <v>4.8365431048503294E-3</v>
      </c>
      <c r="R469" s="86">
        <v>-1.0874910019273137E-2</v>
      </c>
    </row>
    <row r="470" spans="2:18">
      <c r="B470" s="140">
        <v>45247</v>
      </c>
      <c r="C470" s="141">
        <v>19731.800781000002</v>
      </c>
      <c r="D470" s="142">
        <f t="shared" si="14"/>
        <v>-1.6897597453958925E-3</v>
      </c>
      <c r="E470" s="50"/>
      <c r="I470" s="129">
        <v>45247</v>
      </c>
      <c r="J470" s="130">
        <v>1273.6610109999999</v>
      </c>
      <c r="K470" s="131">
        <f t="shared" si="15"/>
        <v>1.2507684856504298E-3</v>
      </c>
      <c r="P470" s="86">
        <v>440</v>
      </c>
      <c r="Q470" s="86">
        <v>-5.3700968237195351E-4</v>
      </c>
      <c r="R470" s="86">
        <v>-1.5119523622264658E-3</v>
      </c>
    </row>
    <row r="471" spans="2:18">
      <c r="B471" s="140">
        <v>45250</v>
      </c>
      <c r="C471" s="141">
        <v>19694</v>
      </c>
      <c r="D471" s="142">
        <f t="shared" si="14"/>
        <v>-1.9157288997363373E-3</v>
      </c>
      <c r="E471" s="50"/>
      <c r="I471" s="129">
        <v>45250</v>
      </c>
      <c r="J471" s="130">
        <v>1268.688721</v>
      </c>
      <c r="K471" s="131">
        <f t="shared" si="15"/>
        <v>-3.9039351578297864E-3</v>
      </c>
      <c r="P471" s="86">
        <v>441</v>
      </c>
      <c r="Q471" s="86">
        <v>-1.523856303439668E-3</v>
      </c>
      <c r="R471" s="86">
        <v>3.6130157904574541E-3</v>
      </c>
    </row>
    <row r="472" spans="2:18">
      <c r="B472" s="140">
        <v>45251</v>
      </c>
      <c r="C472" s="141">
        <v>19783.400390999999</v>
      </c>
      <c r="D472" s="142">
        <f t="shared" si="14"/>
        <v>4.53947349446528E-3</v>
      </c>
      <c r="E472" s="50"/>
      <c r="I472" s="129">
        <v>45251</v>
      </c>
      <c r="J472" s="130">
        <v>1291.710693</v>
      </c>
      <c r="K472" s="131">
        <f t="shared" si="15"/>
        <v>1.8146273091995121E-2</v>
      </c>
      <c r="P472" s="86">
        <v>442</v>
      </c>
      <c r="Q472" s="86">
        <v>-6.1438366784378454E-4</v>
      </c>
      <c r="R472" s="86">
        <v>1.7329085428718499E-2</v>
      </c>
    </row>
    <row r="473" spans="2:18">
      <c r="B473" s="140">
        <v>45252</v>
      </c>
      <c r="C473" s="141">
        <v>19811.849609000001</v>
      </c>
      <c r="D473" s="142">
        <f t="shared" si="14"/>
        <v>1.4380347886475513E-3</v>
      </c>
      <c r="E473" s="50"/>
      <c r="I473" s="129">
        <v>45252</v>
      </c>
      <c r="J473" s="130">
        <v>1298.771362</v>
      </c>
      <c r="K473" s="131">
        <f t="shared" si="15"/>
        <v>5.4661380743094628E-3</v>
      </c>
      <c r="P473" s="86">
        <v>443</v>
      </c>
      <c r="Q473" s="86">
        <v>3.212998129400364E-3</v>
      </c>
      <c r="R473" s="86">
        <v>-2.4567066718820498E-2</v>
      </c>
    </row>
    <row r="474" spans="2:18">
      <c r="B474" s="140">
        <v>45253</v>
      </c>
      <c r="C474" s="141">
        <v>19802</v>
      </c>
      <c r="D474" s="142">
        <f t="shared" si="14"/>
        <v>-4.9715746860537263E-4</v>
      </c>
      <c r="E474" s="50"/>
      <c r="I474" s="129">
        <v>45253</v>
      </c>
      <c r="J474" s="130">
        <v>1294.2464600000001</v>
      </c>
      <c r="K474" s="131">
        <f t="shared" si="15"/>
        <v>-3.4839865833135638E-3</v>
      </c>
      <c r="P474" s="86">
        <v>444</v>
      </c>
      <c r="Q474" s="86">
        <v>-5.2735228145694094E-3</v>
      </c>
      <c r="R474" s="86">
        <v>-2.6300573784622298E-2</v>
      </c>
    </row>
    <row r="475" spans="2:18">
      <c r="B475" s="140">
        <v>45254</v>
      </c>
      <c r="C475" s="141">
        <v>19794.699218999998</v>
      </c>
      <c r="D475" s="142">
        <f t="shared" si="14"/>
        <v>-3.686890718110158E-4</v>
      </c>
      <c r="E475" s="50"/>
      <c r="I475" s="129">
        <v>45254</v>
      </c>
      <c r="J475" s="130">
        <v>1287.1361079999999</v>
      </c>
      <c r="K475" s="131">
        <f t="shared" si="15"/>
        <v>-5.4938160696225875E-3</v>
      </c>
      <c r="P475" s="86">
        <v>445</v>
      </c>
      <c r="Q475" s="86">
        <v>-1.6679863159263729E-3</v>
      </c>
      <c r="R475" s="86">
        <v>1.8342663748928519E-2</v>
      </c>
    </row>
    <row r="476" spans="2:18">
      <c r="B476" s="140">
        <v>45258</v>
      </c>
      <c r="C476" s="141">
        <v>19889.699218999998</v>
      </c>
      <c r="D476" s="142">
        <f t="shared" si="14"/>
        <v>4.7992646389298996E-3</v>
      </c>
      <c r="E476" s="50"/>
      <c r="I476" s="129">
        <v>45258</v>
      </c>
      <c r="J476" s="130">
        <v>1274.1583250000001</v>
      </c>
      <c r="K476" s="131">
        <f t="shared" si="15"/>
        <v>-1.0082681170498107E-2</v>
      </c>
      <c r="P476" s="86">
        <v>446</v>
      </c>
      <c r="Q476" s="86">
        <v>-3.0574942738977292E-3</v>
      </c>
      <c r="R476" s="86">
        <v>-4.8127536048363506E-2</v>
      </c>
    </row>
    <row r="477" spans="2:18">
      <c r="B477" s="140">
        <v>45259</v>
      </c>
      <c r="C477" s="141">
        <v>20096.599609000001</v>
      </c>
      <c r="D477" s="142">
        <f t="shared" si="14"/>
        <v>1.0402389082000654E-2</v>
      </c>
      <c r="E477" s="50"/>
      <c r="I477" s="129">
        <v>45259</v>
      </c>
      <c r="J477" s="130">
        <v>1280.9207759999999</v>
      </c>
      <c r="K477" s="131">
        <f t="shared" si="15"/>
        <v>5.3073867409686526E-3</v>
      </c>
      <c r="P477" s="86">
        <v>447</v>
      </c>
      <c r="Q477" s="86">
        <v>-1.0050013162729736E-2</v>
      </c>
      <c r="R477" s="86">
        <v>3.7465285813995611E-3</v>
      </c>
    </row>
    <row r="478" spans="2:18">
      <c r="B478" s="140">
        <v>45260</v>
      </c>
      <c r="C478" s="141">
        <v>20133.150390999999</v>
      </c>
      <c r="D478" s="142">
        <f t="shared" si="14"/>
        <v>1.8187545510748814E-3</v>
      </c>
      <c r="E478" s="50"/>
      <c r="I478" s="129">
        <v>45260</v>
      </c>
      <c r="J478" s="130">
        <v>1295.4398189999999</v>
      </c>
      <c r="K478" s="131">
        <f t="shared" si="15"/>
        <v>1.1334848549603049E-2</v>
      </c>
      <c r="P478" s="86">
        <v>448</v>
      </c>
      <c r="Q478" s="86">
        <v>-6.1813304857462545E-3</v>
      </c>
      <c r="R478" s="86">
        <v>-7.5561686308127148E-3</v>
      </c>
    </row>
    <row r="479" spans="2:18">
      <c r="B479" s="140">
        <v>45261</v>
      </c>
      <c r="C479" s="141">
        <v>20267.900390999999</v>
      </c>
      <c r="D479" s="142">
        <f t="shared" si="14"/>
        <v>6.6929416103818744E-3</v>
      </c>
      <c r="E479" s="50"/>
      <c r="I479" s="129">
        <v>45261</v>
      </c>
      <c r="J479" s="130">
        <v>1305.185547</v>
      </c>
      <c r="K479" s="131">
        <f t="shared" si="15"/>
        <v>7.5231036263214476E-3</v>
      </c>
      <c r="P479" s="86">
        <v>449</v>
      </c>
      <c r="Q479" s="86">
        <v>-1.0433411953043554E-2</v>
      </c>
      <c r="R479" s="86">
        <v>1.0236085687986422E-2</v>
      </c>
    </row>
    <row r="480" spans="2:18">
      <c r="B480" s="140">
        <v>45264</v>
      </c>
      <c r="C480" s="141">
        <v>20686.800781000002</v>
      </c>
      <c r="D480" s="142">
        <f t="shared" si="14"/>
        <v>2.0668168972550114E-2</v>
      </c>
      <c r="E480" s="50"/>
      <c r="I480" s="129">
        <v>45264</v>
      </c>
      <c r="J480" s="130">
        <v>1306.428711</v>
      </c>
      <c r="K480" s="131">
        <f t="shared" si="15"/>
        <v>9.5248066672008497E-4</v>
      </c>
      <c r="P480" s="86">
        <v>450</v>
      </c>
      <c r="Q480" s="86">
        <v>7.8144707491816304E-3</v>
      </c>
      <c r="R480" s="86">
        <v>-1.3339710044418892E-2</v>
      </c>
    </row>
    <row r="481" spans="2:18">
      <c r="B481" s="140">
        <v>45265</v>
      </c>
      <c r="C481" s="141">
        <v>20855.099609000001</v>
      </c>
      <c r="D481" s="142">
        <f t="shared" si="14"/>
        <v>8.1355657543033325E-3</v>
      </c>
      <c r="E481" s="50"/>
      <c r="I481" s="129">
        <v>45265</v>
      </c>
      <c r="J481" s="130">
        <v>1310.2574460000001</v>
      </c>
      <c r="K481" s="131">
        <f t="shared" si="15"/>
        <v>2.9306880411938924E-3</v>
      </c>
      <c r="P481" s="86">
        <v>451</v>
      </c>
      <c r="Q481" s="86">
        <v>3.8802899631117677E-3</v>
      </c>
      <c r="R481" s="86">
        <v>3.3821990163496679E-3</v>
      </c>
    </row>
    <row r="482" spans="2:18">
      <c r="B482" s="140">
        <v>45266</v>
      </c>
      <c r="C482" s="141">
        <v>20937.699218999998</v>
      </c>
      <c r="D482" s="142">
        <f t="shared" si="14"/>
        <v>3.9606432742403056E-3</v>
      </c>
      <c r="E482" s="50"/>
      <c r="I482" s="129">
        <v>45266</v>
      </c>
      <c r="J482" s="130">
        <v>1317.1191409999999</v>
      </c>
      <c r="K482" s="131">
        <f t="shared" si="15"/>
        <v>5.2369059385599754E-3</v>
      </c>
      <c r="P482" s="86">
        <v>452</v>
      </c>
      <c r="Q482" s="86">
        <v>-2.3114589581519555E-3</v>
      </c>
      <c r="R482" s="86">
        <v>-1.5733587802731482E-2</v>
      </c>
    </row>
    <row r="483" spans="2:18">
      <c r="B483" s="140">
        <v>45267</v>
      </c>
      <c r="C483" s="141">
        <v>20901.150390999999</v>
      </c>
      <c r="D483" s="142">
        <f t="shared" si="14"/>
        <v>-1.7455990564060003E-3</v>
      </c>
      <c r="E483" s="50"/>
      <c r="I483" s="129">
        <v>45267</v>
      </c>
      <c r="J483" s="130">
        <v>1342.030518</v>
      </c>
      <c r="K483" s="131">
        <f t="shared" si="15"/>
        <v>1.891353350243365E-2</v>
      </c>
      <c r="P483" s="86">
        <v>453</v>
      </c>
      <c r="Q483" s="86">
        <v>-3.4843386635419259E-3</v>
      </c>
      <c r="R483" s="86">
        <v>-8.49012874581894E-4</v>
      </c>
    </row>
    <row r="484" spans="2:18">
      <c r="B484" s="140">
        <v>45268</v>
      </c>
      <c r="C484" s="141">
        <v>20969.400390999999</v>
      </c>
      <c r="D484" s="142">
        <f t="shared" si="14"/>
        <v>3.2653705046487938E-3</v>
      </c>
      <c r="E484" s="50"/>
      <c r="I484" s="129">
        <v>45268</v>
      </c>
      <c r="J484" s="130">
        <v>1335.5665280000001</v>
      </c>
      <c r="K484" s="131">
        <f t="shared" si="15"/>
        <v>-4.816574521444651E-3</v>
      </c>
      <c r="P484" s="86">
        <v>454</v>
      </c>
      <c r="Q484" s="86">
        <v>5.9177696320065329E-3</v>
      </c>
      <c r="R484" s="86">
        <v>1.4432815694336621E-2</v>
      </c>
    </row>
    <row r="485" spans="2:18">
      <c r="B485" s="140">
        <v>45271</v>
      </c>
      <c r="C485" s="141">
        <v>20997.099609000001</v>
      </c>
      <c r="D485" s="142">
        <f t="shared" si="14"/>
        <v>1.3209351475729359E-3</v>
      </c>
      <c r="E485" s="50"/>
      <c r="I485" s="129">
        <v>45271</v>
      </c>
      <c r="J485" s="130">
        <v>1337.5554199999999</v>
      </c>
      <c r="K485" s="131">
        <f t="shared" si="15"/>
        <v>1.4891747871056639E-3</v>
      </c>
      <c r="P485" s="86">
        <v>455</v>
      </c>
      <c r="Q485" s="86">
        <v>4.0108762234638577E-3</v>
      </c>
      <c r="R485" s="86">
        <v>-6.1456902139760128E-5</v>
      </c>
    </row>
    <row r="486" spans="2:18">
      <c r="B486" s="140">
        <v>45272</v>
      </c>
      <c r="C486" s="141">
        <v>20906.400390999999</v>
      </c>
      <c r="D486" s="142">
        <f t="shared" si="14"/>
        <v>-4.3196069785336015E-3</v>
      </c>
      <c r="E486" s="50"/>
      <c r="I486" s="129">
        <v>45272</v>
      </c>
      <c r="J486" s="130">
        <v>1334.1741939999999</v>
      </c>
      <c r="K486" s="131">
        <f t="shared" si="15"/>
        <v>-2.5279146938075804E-3</v>
      </c>
      <c r="P486" s="86">
        <v>456</v>
      </c>
      <c r="Q486" s="86">
        <v>7.3143653346988925E-3</v>
      </c>
      <c r="R486" s="86">
        <v>-1.4001956547571113E-2</v>
      </c>
    </row>
    <row r="487" spans="2:18">
      <c r="B487" s="140">
        <v>45273</v>
      </c>
      <c r="C487" s="141">
        <v>20926.349609000001</v>
      </c>
      <c r="D487" s="142">
        <f t="shared" si="14"/>
        <v>9.5421582036616444E-4</v>
      </c>
      <c r="E487" s="50"/>
      <c r="I487" s="129">
        <v>45273</v>
      </c>
      <c r="J487" s="130">
        <v>1319.9533690000001</v>
      </c>
      <c r="K487" s="131">
        <f t="shared" si="15"/>
        <v>-1.0658896764720273E-2</v>
      </c>
      <c r="P487" s="86">
        <v>457</v>
      </c>
      <c r="Q487" s="86">
        <v>-6.7597037393524715E-5</v>
      </c>
      <c r="R487" s="86">
        <v>-7.4571318066144129E-3</v>
      </c>
    </row>
    <row r="488" spans="2:18">
      <c r="B488" s="140">
        <v>45274</v>
      </c>
      <c r="C488" s="141">
        <v>21182.699218999998</v>
      </c>
      <c r="D488" s="142">
        <f t="shared" si="14"/>
        <v>1.225008732004299E-2</v>
      </c>
      <c r="E488" s="50"/>
      <c r="I488" s="129">
        <v>45274</v>
      </c>
      <c r="J488" s="130">
        <v>1326.268311</v>
      </c>
      <c r="K488" s="131">
        <f t="shared" si="15"/>
        <v>4.7842159793752333E-3</v>
      </c>
      <c r="P488" s="86">
        <v>458</v>
      </c>
      <c r="Q488" s="86">
        <v>1.5769206566497739E-3</v>
      </c>
      <c r="R488" s="86">
        <v>-2.3350690916984934E-3</v>
      </c>
    </row>
    <row r="489" spans="2:18">
      <c r="B489" s="140">
        <v>45275</v>
      </c>
      <c r="C489" s="141">
        <v>21456.650390999999</v>
      </c>
      <c r="D489" s="142">
        <f t="shared" si="14"/>
        <v>1.2932779206640398E-2</v>
      </c>
      <c r="E489" s="50"/>
      <c r="I489" s="129">
        <v>45275</v>
      </c>
      <c r="J489" s="130">
        <v>1325.025269</v>
      </c>
      <c r="K489" s="131">
        <f t="shared" si="15"/>
        <v>-9.372477572526872E-4</v>
      </c>
      <c r="P489" s="86">
        <v>459</v>
      </c>
      <c r="Q489" s="86">
        <v>-1.7595943487184024E-3</v>
      </c>
      <c r="R489" s="86">
        <v>2.6381217231020411E-3</v>
      </c>
    </row>
    <row r="490" spans="2:18">
      <c r="B490" s="140">
        <v>45278</v>
      </c>
      <c r="C490" s="141">
        <v>21418.650390999999</v>
      </c>
      <c r="D490" s="142">
        <f t="shared" si="14"/>
        <v>-1.7710126840645693E-3</v>
      </c>
      <c r="E490" s="50"/>
      <c r="I490" s="129">
        <v>45278</v>
      </c>
      <c r="J490" s="130">
        <v>1338.400635</v>
      </c>
      <c r="K490" s="131">
        <f t="shared" si="15"/>
        <v>1.0094423338880479E-2</v>
      </c>
      <c r="P490" s="86">
        <v>460</v>
      </c>
      <c r="Q490" s="86">
        <v>1.3122946262399808E-3</v>
      </c>
      <c r="R490" s="86">
        <v>2.0792283794979819E-3</v>
      </c>
    </row>
    <row r="491" spans="2:18">
      <c r="B491" s="140">
        <v>45279</v>
      </c>
      <c r="C491" s="141">
        <v>21453.099609000001</v>
      </c>
      <c r="D491" s="142">
        <f t="shared" si="14"/>
        <v>1.6083748215282947E-3</v>
      </c>
      <c r="E491" s="50"/>
      <c r="I491" s="129">
        <v>45279</v>
      </c>
      <c r="J491" s="130">
        <v>1364.8038329999999</v>
      </c>
      <c r="K491" s="131">
        <f t="shared" si="15"/>
        <v>1.9727424890231E-2</v>
      </c>
      <c r="P491" s="86">
        <v>461</v>
      </c>
      <c r="Q491" s="86">
        <v>8.4535690921429935E-4</v>
      </c>
      <c r="R491" s="86">
        <v>-6.1739482120403135E-3</v>
      </c>
    </row>
    <row r="492" spans="2:18">
      <c r="B492" s="140">
        <v>45280</v>
      </c>
      <c r="C492" s="141">
        <v>21150.150390999999</v>
      </c>
      <c r="D492" s="142">
        <f t="shared" si="14"/>
        <v>-1.4121466059520292E-2</v>
      </c>
      <c r="E492" s="50"/>
      <c r="I492" s="129">
        <v>45280</v>
      </c>
      <c r="J492" s="130">
        <v>1328.2075199999999</v>
      </c>
      <c r="K492" s="131">
        <f t="shared" si="15"/>
        <v>-2.6814339258966612E-2</v>
      </c>
      <c r="P492" s="86">
        <v>462</v>
      </c>
      <c r="Q492" s="86">
        <v>9.2260689420400818E-3</v>
      </c>
      <c r="R492" s="86">
        <v>-1.5110785318460038E-4</v>
      </c>
    </row>
    <row r="493" spans="2:18">
      <c r="B493" s="140">
        <v>45281</v>
      </c>
      <c r="C493" s="141">
        <v>21255.050781000002</v>
      </c>
      <c r="D493" s="142">
        <f t="shared" si="14"/>
        <v>4.9597940468849178E-3</v>
      </c>
      <c r="E493" s="50"/>
      <c r="I493" s="129">
        <v>45281</v>
      </c>
      <c r="J493" s="130">
        <v>1333.6770019999999</v>
      </c>
      <c r="K493" s="131">
        <f t="shared" si="15"/>
        <v>4.1179423528636336E-3</v>
      </c>
      <c r="P493" s="86">
        <v>463</v>
      </c>
      <c r="Q493" s="86">
        <v>3.6094032038097353E-3</v>
      </c>
      <c r="R493" s="86">
        <v>9.9399960372611607E-3</v>
      </c>
    </row>
    <row r="494" spans="2:18">
      <c r="B494" s="140">
        <v>45282</v>
      </c>
      <c r="C494" s="141">
        <v>21349.400390999999</v>
      </c>
      <c r="D494" s="142">
        <f t="shared" si="14"/>
        <v>4.4389265860675844E-3</v>
      </c>
      <c r="E494" s="50"/>
      <c r="I494" s="129">
        <v>45282</v>
      </c>
      <c r="J494" s="130">
        <v>1344.317871</v>
      </c>
      <c r="K494" s="131">
        <f t="shared" si="15"/>
        <v>7.9785952551051538E-3</v>
      </c>
      <c r="P494" s="86">
        <v>464</v>
      </c>
      <c r="Q494" s="86">
        <v>-1.1577738702988919E-3</v>
      </c>
      <c r="R494" s="86">
        <v>2.4085423559493217E-3</v>
      </c>
    </row>
    <row r="495" spans="2:18">
      <c r="B495" s="140">
        <v>45286</v>
      </c>
      <c r="C495" s="141">
        <v>21441.349609000001</v>
      </c>
      <c r="D495" s="142">
        <f t="shared" si="14"/>
        <v>4.3068758989017533E-3</v>
      </c>
      <c r="E495" s="50"/>
      <c r="I495" s="129">
        <v>45286</v>
      </c>
      <c r="J495" s="130">
        <v>1354.2624510000001</v>
      </c>
      <c r="K495" s="131">
        <f t="shared" si="15"/>
        <v>7.3974914821318231E-3</v>
      </c>
      <c r="P495" s="86">
        <v>465</v>
      </c>
      <c r="Q495" s="86">
        <v>-1.3300961183576069E-3</v>
      </c>
      <c r="R495" s="86">
        <v>-2.5738390394721795E-3</v>
      </c>
    </row>
    <row r="496" spans="2:18">
      <c r="B496" s="140">
        <v>45287</v>
      </c>
      <c r="C496" s="141">
        <v>21654.75</v>
      </c>
      <c r="D496" s="142">
        <f t="shared" si="14"/>
        <v>9.9527499383912123E-3</v>
      </c>
      <c r="E496" s="50"/>
      <c r="I496" s="129">
        <v>45287</v>
      </c>
      <c r="J496" s="130">
        <v>1354.0139160000001</v>
      </c>
      <c r="K496" s="131">
        <f t="shared" si="15"/>
        <v>-1.8352055749343602E-4</v>
      </c>
      <c r="P496" s="86">
        <v>466</v>
      </c>
      <c r="Q496" s="86">
        <v>3.5925889777104906E-3</v>
      </c>
      <c r="R496" s="86">
        <v>1.4553684114284631E-2</v>
      </c>
    </row>
    <row r="497" spans="2:18">
      <c r="B497" s="140">
        <v>45288</v>
      </c>
      <c r="C497" s="141">
        <v>21778.699218999998</v>
      </c>
      <c r="D497" s="142">
        <f t="shared" si="14"/>
        <v>5.7238813193409418E-3</v>
      </c>
      <c r="E497" s="50"/>
      <c r="I497" s="129">
        <v>45288</v>
      </c>
      <c r="J497" s="130">
        <v>1358.986206</v>
      </c>
      <c r="K497" s="131">
        <f t="shared" si="15"/>
        <v>3.6722591557175172E-3</v>
      </c>
      <c r="P497" s="86">
        <v>467</v>
      </c>
      <c r="Q497" s="86">
        <v>1.2274569243434881E-3</v>
      </c>
      <c r="R497" s="86">
        <v>4.2386811499659748E-3</v>
      </c>
    </row>
    <row r="498" spans="2:18">
      <c r="B498" s="140">
        <v>45289</v>
      </c>
      <c r="C498" s="141">
        <v>21731.400390999999</v>
      </c>
      <c r="D498" s="142">
        <f t="shared" si="14"/>
        <v>-2.1717930682809091E-3</v>
      </c>
      <c r="E498" s="50"/>
      <c r="I498" s="129">
        <v>45289</v>
      </c>
      <c r="J498" s="130">
        <v>1360.378418</v>
      </c>
      <c r="K498" s="131">
        <f t="shared" si="15"/>
        <v>1.0244489560330182E-3</v>
      </c>
      <c r="P498" s="86">
        <v>468</v>
      </c>
      <c r="Q498" s="86">
        <v>-2.483050271891827E-4</v>
      </c>
      <c r="R498" s="86">
        <v>-3.2356815561243812E-3</v>
      </c>
    </row>
    <row r="499" spans="2:18">
      <c r="B499" s="140">
        <v>45292</v>
      </c>
      <c r="C499" s="141">
        <v>21741.900390999999</v>
      </c>
      <c r="D499" s="142">
        <f t="shared" si="14"/>
        <v>4.8317180720431377E-4</v>
      </c>
      <c r="E499" s="50"/>
      <c r="I499" s="129">
        <v>45292</v>
      </c>
      <c r="J499" s="130">
        <v>1354.6602780000001</v>
      </c>
      <c r="K499" s="131">
        <f t="shared" si="15"/>
        <v>-4.2033451312809261E-3</v>
      </c>
      <c r="P499" s="86">
        <v>469</v>
      </c>
      <c r="Q499" s="86">
        <v>-1.5033606764371522E-4</v>
      </c>
      <c r="R499" s="86">
        <v>-5.3434800019788722E-3</v>
      </c>
    </row>
    <row r="500" spans="2:18">
      <c r="B500" s="140">
        <v>45293</v>
      </c>
      <c r="C500" s="141">
        <v>21665.800781000002</v>
      </c>
      <c r="D500" s="142">
        <f t="shared" si="14"/>
        <v>-3.500136079709882E-3</v>
      </c>
      <c r="E500" s="50"/>
      <c r="I500" s="129">
        <v>45293</v>
      </c>
      <c r="J500" s="130">
        <v>1372.461182</v>
      </c>
      <c r="K500" s="131">
        <f t="shared" si="15"/>
        <v>1.3140493073496575E-2</v>
      </c>
      <c r="P500" s="86">
        <v>470</v>
      </c>
      <c r="Q500" s="86">
        <v>3.7907036016756818E-3</v>
      </c>
      <c r="R500" s="86">
        <v>-1.3873384772173789E-2</v>
      </c>
    </row>
    <row r="501" spans="2:18">
      <c r="B501" s="140">
        <v>45294</v>
      </c>
      <c r="C501" s="141">
        <v>21517.349609000001</v>
      </c>
      <c r="D501" s="142">
        <f t="shared" si="14"/>
        <v>-6.851866381518028E-3</v>
      </c>
      <c r="E501" s="50"/>
      <c r="I501" s="129">
        <v>45294</v>
      </c>
      <c r="J501" s="130">
        <v>1389.963745</v>
      </c>
      <c r="K501" s="131">
        <f t="shared" si="15"/>
        <v>1.2752683448937071E-2</v>
      </c>
      <c r="P501" s="86">
        <v>471</v>
      </c>
      <c r="Q501" s="86">
        <v>8.063600949107446E-3</v>
      </c>
      <c r="R501" s="86">
        <v>-2.7562142081387934E-3</v>
      </c>
    </row>
    <row r="502" spans="2:18">
      <c r="B502" s="140">
        <v>45295</v>
      </c>
      <c r="C502" s="141">
        <v>21658.599609000001</v>
      </c>
      <c r="D502" s="142">
        <f t="shared" si="14"/>
        <v>6.5644701864638463E-3</v>
      </c>
      <c r="E502" s="50"/>
      <c r="I502" s="129">
        <v>45295</v>
      </c>
      <c r="J502" s="130">
        <v>1392.201294</v>
      </c>
      <c r="K502" s="131">
        <f t="shared" si="15"/>
        <v>1.6097894697245823E-3</v>
      </c>
      <c r="P502" s="86">
        <v>472</v>
      </c>
      <c r="Q502" s="86">
        <v>1.5177907335456706E-3</v>
      </c>
      <c r="R502" s="86">
        <v>9.8170578160573785E-3</v>
      </c>
    </row>
    <row r="503" spans="2:18">
      <c r="B503" s="140">
        <v>45296</v>
      </c>
      <c r="C503" s="141">
        <v>21710.800781000002</v>
      </c>
      <c r="D503" s="142">
        <f t="shared" si="14"/>
        <v>2.410182234418762E-3</v>
      </c>
      <c r="E503" s="50"/>
      <c r="I503" s="129">
        <v>45296</v>
      </c>
      <c r="J503" s="130">
        <v>1397.720581</v>
      </c>
      <c r="K503" s="131">
        <f t="shared" si="15"/>
        <v>3.9644317411473952E-3</v>
      </c>
      <c r="P503" s="86">
        <v>473</v>
      </c>
      <c r="Q503" s="86">
        <v>5.2348063322899029E-3</v>
      </c>
      <c r="R503" s="86">
        <v>2.2882972940315447E-3</v>
      </c>
    </row>
    <row r="504" spans="2:18">
      <c r="B504" s="140">
        <v>45299</v>
      </c>
      <c r="C504" s="141">
        <v>21513</v>
      </c>
      <c r="D504" s="142">
        <f t="shared" si="14"/>
        <v>-9.1107086742330205E-3</v>
      </c>
      <c r="E504" s="50"/>
      <c r="I504" s="129">
        <v>45299</v>
      </c>
      <c r="J504" s="130">
        <v>1367.985962</v>
      </c>
      <c r="K504" s="131">
        <f t="shared" si="15"/>
        <v>-2.1273650402089964E-2</v>
      </c>
      <c r="P504" s="86">
        <v>474</v>
      </c>
      <c r="Q504" s="86">
        <v>1.5892201600284029E-2</v>
      </c>
      <c r="R504" s="86">
        <v>-1.4939720933563943E-2</v>
      </c>
    </row>
    <row r="505" spans="2:18">
      <c r="B505" s="140">
        <v>45300</v>
      </c>
      <c r="C505" s="141">
        <v>21544.849609000001</v>
      </c>
      <c r="D505" s="142">
        <f t="shared" si="14"/>
        <v>1.4804819876354197E-3</v>
      </c>
      <c r="E505" s="50"/>
      <c r="I505" s="129">
        <v>45300</v>
      </c>
      <c r="J505" s="130">
        <v>1372.013794</v>
      </c>
      <c r="K505" s="131">
        <f t="shared" si="15"/>
        <v>2.9443518514702342E-3</v>
      </c>
      <c r="P505" s="86">
        <v>475</v>
      </c>
      <c r="Q505" s="86">
        <v>6.3349398275446998E-3</v>
      </c>
      <c r="R505" s="86">
        <v>-3.4042517863508075E-3</v>
      </c>
    </row>
    <row r="506" spans="2:18">
      <c r="B506" s="140">
        <v>45301</v>
      </c>
      <c r="C506" s="141">
        <v>21618.699218999998</v>
      </c>
      <c r="D506" s="142">
        <f t="shared" si="14"/>
        <v>3.4277152702494634E-3</v>
      </c>
      <c r="E506" s="50"/>
      <c r="I506" s="129">
        <v>45301</v>
      </c>
      <c r="J506" s="130">
        <v>1383.0024410000001</v>
      </c>
      <c r="K506" s="131">
        <f t="shared" si="15"/>
        <v>8.0091374066754671E-3</v>
      </c>
      <c r="P506" s="86">
        <v>476</v>
      </c>
      <c r="Q506" s="86">
        <v>3.1511777369390521E-3</v>
      </c>
      <c r="R506" s="86">
        <v>2.0857282016209233E-3</v>
      </c>
    </row>
    <row r="507" spans="2:18">
      <c r="B507" s="140">
        <v>45302</v>
      </c>
      <c r="C507" s="141">
        <v>21647.199218999998</v>
      </c>
      <c r="D507" s="142">
        <f t="shared" si="14"/>
        <v>1.3183031833364073E-3</v>
      </c>
      <c r="E507" s="50"/>
      <c r="I507" s="129">
        <v>45302</v>
      </c>
      <c r="J507" s="130">
        <v>1422.184448</v>
      </c>
      <c r="K507" s="131">
        <f t="shared" si="15"/>
        <v>2.8331119192869077E-2</v>
      </c>
      <c r="P507" s="86">
        <v>477</v>
      </c>
      <c r="Q507" s="86">
        <v>-1.2003564769002095E-3</v>
      </c>
      <c r="R507" s="86">
        <v>2.011388997933386E-2</v>
      </c>
    </row>
    <row r="508" spans="2:18">
      <c r="B508" s="140">
        <v>45303</v>
      </c>
      <c r="C508" s="141">
        <v>21894.550781000002</v>
      </c>
      <c r="D508" s="142">
        <f t="shared" si="14"/>
        <v>1.1426492614476431E-2</v>
      </c>
      <c r="E508" s="50"/>
      <c r="I508" s="129">
        <v>45303</v>
      </c>
      <c r="J508" s="130">
        <v>1424.123779</v>
      </c>
      <c r="K508" s="131">
        <f t="shared" si="15"/>
        <v>1.3636283273434013E-3</v>
      </c>
      <c r="P508" s="86">
        <v>478</v>
      </c>
      <c r="Q508" s="86">
        <v>2.6209683505308921E-3</v>
      </c>
      <c r="R508" s="86">
        <v>-7.4375428719755431E-3</v>
      </c>
    </row>
    <row r="509" spans="2:18">
      <c r="B509" s="140">
        <v>45306</v>
      </c>
      <c r="C509" s="141">
        <v>22097.449218999998</v>
      </c>
      <c r="D509" s="142">
        <f t="shared" si="14"/>
        <v>9.2670747177910108E-3</v>
      </c>
      <c r="E509" s="50"/>
      <c r="I509" s="129">
        <v>45306</v>
      </c>
      <c r="J509" s="130">
        <v>1432.576538</v>
      </c>
      <c r="K509" s="131">
        <f t="shared" si="15"/>
        <v>5.9354103376712273E-3</v>
      </c>
      <c r="P509" s="86">
        <v>479</v>
      </c>
      <c r="Q509" s="86">
        <v>1.1381576858888235E-3</v>
      </c>
      <c r="R509" s="86">
        <v>3.5101710121684037E-4</v>
      </c>
    </row>
    <row r="510" spans="2:18">
      <c r="B510" s="140">
        <v>45307</v>
      </c>
      <c r="C510" s="141">
        <v>22032.300781000002</v>
      </c>
      <c r="D510" s="142">
        <f t="shared" si="14"/>
        <v>-2.9482334071382365E-3</v>
      </c>
      <c r="E510" s="50"/>
      <c r="I510" s="129">
        <v>45307</v>
      </c>
      <c r="J510" s="130">
        <v>1422.283813</v>
      </c>
      <c r="K510" s="131">
        <f t="shared" si="15"/>
        <v>-7.1847644624765021E-3</v>
      </c>
      <c r="P510" s="86">
        <v>480</v>
      </c>
      <c r="Q510" s="86">
        <v>-3.1632740837595238E-3</v>
      </c>
      <c r="R510" s="86">
        <v>6.353593899519434E-4</v>
      </c>
    </row>
    <row r="511" spans="2:18">
      <c r="B511" s="140">
        <v>45308</v>
      </c>
      <c r="C511" s="141">
        <v>21571.949218999998</v>
      </c>
      <c r="D511" s="142">
        <f t="shared" si="14"/>
        <v>-2.0894393489625782E-2</v>
      </c>
      <c r="E511" s="50"/>
      <c r="I511" s="129">
        <v>45308</v>
      </c>
      <c r="J511" s="130">
        <v>1423.42749</v>
      </c>
      <c r="K511" s="131">
        <f t="shared" si="15"/>
        <v>8.0411306769194392E-4</v>
      </c>
      <c r="P511" s="86">
        <v>481</v>
      </c>
      <c r="Q511" s="86">
        <v>8.585004952634058E-4</v>
      </c>
      <c r="R511" s="86">
        <v>-1.1517397259983679E-2</v>
      </c>
    </row>
    <row r="512" spans="2:18">
      <c r="B512" s="140">
        <v>45309</v>
      </c>
      <c r="C512" s="141">
        <v>21462.25</v>
      </c>
      <c r="D512" s="142">
        <f t="shared" si="14"/>
        <v>-5.0852715202656844E-3</v>
      </c>
      <c r="E512" s="50"/>
      <c r="I512" s="129">
        <v>45309</v>
      </c>
      <c r="J512" s="130">
        <v>1392.5493160000001</v>
      </c>
      <c r="K512" s="131">
        <f t="shared" si="15"/>
        <v>-2.1692832418179549E-2</v>
      </c>
      <c r="P512" s="86">
        <v>482</v>
      </c>
      <c r="Q512" s="86">
        <v>9.4726406697849021E-3</v>
      </c>
      <c r="R512" s="86">
        <v>-4.6884246904096687E-3</v>
      </c>
    </row>
    <row r="513" spans="2:18">
      <c r="B513" s="140">
        <v>45310</v>
      </c>
      <c r="C513" s="141">
        <v>21622.400390999999</v>
      </c>
      <c r="D513" s="142">
        <f t="shared" si="14"/>
        <v>7.4619572039277904E-3</v>
      </c>
      <c r="E513" s="50"/>
      <c r="I513" s="129">
        <v>45310</v>
      </c>
      <c r="J513" s="130">
        <v>1374.3009030000001</v>
      </c>
      <c r="K513" s="131">
        <f t="shared" si="15"/>
        <v>-1.3104320823924074E-2</v>
      </c>
      <c r="P513" s="86">
        <v>483</v>
      </c>
      <c r="Q513" s="86">
        <v>9.9932559766540401E-3</v>
      </c>
      <c r="R513" s="86">
        <v>-1.0930503733906728E-2</v>
      </c>
    </row>
    <row r="514" spans="2:18">
      <c r="B514" s="140">
        <v>45314</v>
      </c>
      <c r="C514" s="141">
        <v>21238.800781000002</v>
      </c>
      <c r="D514" s="142">
        <f t="shared" si="14"/>
        <v>-1.7740842971331949E-2</v>
      </c>
      <c r="E514" s="50"/>
      <c r="I514" s="129">
        <v>45314</v>
      </c>
      <c r="J514" s="130">
        <v>1305.8817140000001</v>
      </c>
      <c r="K514" s="131">
        <f t="shared" si="15"/>
        <v>-4.9784722436437168E-2</v>
      </c>
      <c r="P514" s="86">
        <v>484</v>
      </c>
      <c r="Q514" s="86">
        <v>-1.2197367036494489E-3</v>
      </c>
      <c r="R514" s="86">
        <v>1.1314160042529928E-2</v>
      </c>
    </row>
    <row r="515" spans="2:18">
      <c r="B515" s="140">
        <v>45315</v>
      </c>
      <c r="C515" s="141">
        <v>21453.949218999998</v>
      </c>
      <c r="D515" s="142">
        <f t="shared" si="14"/>
        <v>1.0129971094811811E-2</v>
      </c>
      <c r="E515" s="50"/>
      <c r="I515" s="129">
        <v>45315</v>
      </c>
      <c r="J515" s="130">
        <v>1298.373413</v>
      </c>
      <c r="K515" s="131">
        <f t="shared" si="15"/>
        <v>-5.7496026780263759E-3</v>
      </c>
      <c r="P515" s="86">
        <v>485</v>
      </c>
      <c r="Q515" s="86">
        <v>1.3573568546507075E-3</v>
      </c>
      <c r="R515" s="86">
        <v>1.8370068035580292E-2</v>
      </c>
    </row>
    <row r="516" spans="2:18">
      <c r="B516" s="140">
        <v>45316</v>
      </c>
      <c r="C516" s="141">
        <v>21352.599609000001</v>
      </c>
      <c r="D516" s="142">
        <f t="shared" si="14"/>
        <v>-4.7240537844771471E-3</v>
      </c>
      <c r="E516" s="50"/>
      <c r="I516" s="129">
        <v>45316</v>
      </c>
      <c r="J516" s="130">
        <v>1283.2078859999999</v>
      </c>
      <c r="K516" s="131">
        <f t="shared" si="15"/>
        <v>-1.1680404765035119E-2</v>
      </c>
      <c r="P516" s="86">
        <v>486</v>
      </c>
      <c r="Q516" s="86">
        <v>-1.0638092480635008E-2</v>
      </c>
      <c r="R516" s="86">
        <v>-1.6176246778331606E-2</v>
      </c>
    </row>
    <row r="517" spans="2:18">
      <c r="B517" s="140">
        <v>45320</v>
      </c>
      <c r="C517" s="141">
        <v>21737.599609000001</v>
      </c>
      <c r="D517" s="142">
        <f t="shared" si="14"/>
        <v>1.8030591452561338E-2</v>
      </c>
      <c r="E517" s="50"/>
      <c r="I517" s="129">
        <v>45320</v>
      </c>
      <c r="J517" s="130">
        <v>1310.6054690000001</v>
      </c>
      <c r="K517" s="131">
        <f t="shared" si="15"/>
        <v>2.1350853044866783E-2</v>
      </c>
      <c r="P517" s="86">
        <v>487</v>
      </c>
      <c r="Q517" s="86">
        <v>3.9131220288237808E-3</v>
      </c>
      <c r="R517" s="86">
        <v>2.0482032403985276E-4</v>
      </c>
    </row>
    <row r="518" spans="2:18">
      <c r="B518" s="140">
        <v>45321</v>
      </c>
      <c r="C518" s="141">
        <v>21522.099609000001</v>
      </c>
      <c r="D518" s="142">
        <f t="shared" si="14"/>
        <v>-9.9136981026542014E-3</v>
      </c>
      <c r="E518" s="50"/>
      <c r="I518" s="129">
        <v>45321</v>
      </c>
      <c r="J518" s="130">
        <v>1287.9316409999999</v>
      </c>
      <c r="K518" s="131">
        <f t="shared" si="15"/>
        <v>-1.7300269635911449E-2</v>
      </c>
      <c r="P518" s="86">
        <v>488</v>
      </c>
      <c r="Q518" s="86">
        <v>3.5159127192139856E-3</v>
      </c>
      <c r="R518" s="86">
        <v>4.4626825358911682E-3</v>
      </c>
    </row>
    <row r="519" spans="2:18">
      <c r="B519" s="140">
        <v>45322</v>
      </c>
      <c r="C519" s="141">
        <v>21725.699218999998</v>
      </c>
      <c r="D519" s="142">
        <f t="shared" si="14"/>
        <v>9.4600254482075374E-3</v>
      </c>
      <c r="E519" s="50"/>
      <c r="I519" s="129">
        <v>45322</v>
      </c>
      <c r="J519" s="130">
        <v>1287.2354740000001</v>
      </c>
      <c r="K519" s="131">
        <f t="shared" si="15"/>
        <v>-5.4053101720468735E-4</v>
      </c>
      <c r="P519" s="86">
        <v>489</v>
      </c>
      <c r="Q519" s="86">
        <v>3.4152119340270346E-3</v>
      </c>
      <c r="R519" s="86">
        <v>3.982279548104789E-3</v>
      </c>
    </row>
    <row r="520" spans="2:18">
      <c r="B520" s="140">
        <v>45323</v>
      </c>
      <c r="C520" s="141">
        <v>21697.449218999998</v>
      </c>
      <c r="D520" s="142">
        <f t="shared" ref="D520:D583" si="16">(C520-C519)/C519</f>
        <v>-1.3003033741392424E-3</v>
      </c>
      <c r="E520" s="50"/>
      <c r="I520" s="129">
        <v>45323</v>
      </c>
      <c r="J520" s="130">
        <v>1310.3607179999999</v>
      </c>
      <c r="K520" s="131">
        <f t="shared" ref="K520:K583" si="17">(J520-J519)/J519</f>
        <v>1.7965045609052131E-2</v>
      </c>
      <c r="P520" s="86">
        <v>490</v>
      </c>
      <c r="Q520" s="86">
        <v>7.7207097776635829E-3</v>
      </c>
      <c r="R520" s="86">
        <v>-7.9042303351570184E-3</v>
      </c>
    </row>
    <row r="521" spans="2:18">
      <c r="B521" s="140">
        <v>45324</v>
      </c>
      <c r="C521" s="141">
        <v>21853.800781000002</v>
      </c>
      <c r="D521" s="142">
        <f t="shared" si="16"/>
        <v>7.2059881519662555E-3</v>
      </c>
      <c r="E521" s="50"/>
      <c r="I521" s="129">
        <v>45324</v>
      </c>
      <c r="J521" s="130">
        <v>1336.9746090000001</v>
      </c>
      <c r="K521" s="131">
        <f t="shared" si="17"/>
        <v>2.0310354724782122E-2</v>
      </c>
      <c r="P521" s="86">
        <v>491</v>
      </c>
      <c r="Q521" s="86">
        <v>4.4958087981175265E-3</v>
      </c>
      <c r="R521" s="86">
        <v>-8.235496424000093E-4</v>
      </c>
    </row>
    <row r="522" spans="2:18">
      <c r="B522" s="140">
        <v>45327</v>
      </c>
      <c r="C522" s="141">
        <v>21771.699218999998</v>
      </c>
      <c r="D522" s="142">
        <f t="shared" si="16"/>
        <v>-3.7568550579715958E-3</v>
      </c>
      <c r="E522" s="50"/>
      <c r="I522" s="129">
        <v>45327</v>
      </c>
      <c r="J522" s="130">
        <v>1335.4295649999999</v>
      </c>
      <c r="K522" s="131">
        <f t="shared" si="17"/>
        <v>-1.1556270325551029E-3</v>
      </c>
      <c r="P522" s="86">
        <v>492</v>
      </c>
      <c r="Q522" s="86">
        <v>-1.5253685806530877E-3</v>
      </c>
      <c r="R522" s="86">
        <v>2.5498175366861059E-3</v>
      </c>
    </row>
    <row r="523" spans="2:18">
      <c r="B523" s="140">
        <v>45328</v>
      </c>
      <c r="C523" s="141">
        <v>21929.400390999999</v>
      </c>
      <c r="D523" s="142">
        <f t="shared" si="16"/>
        <v>7.2434021071895172E-3</v>
      </c>
      <c r="E523" s="50"/>
      <c r="I523" s="129">
        <v>45328</v>
      </c>
      <c r="J523" s="130">
        <v>1340.6625979999999</v>
      </c>
      <c r="K523" s="131">
        <f t="shared" si="17"/>
        <v>3.9186140079203492E-3</v>
      </c>
      <c r="P523" s="86">
        <v>493</v>
      </c>
      <c r="Q523" s="86">
        <v>4.9928614355433947E-4</v>
      </c>
      <c r="R523" s="86">
        <v>-4.7026312748352653E-3</v>
      </c>
    </row>
    <row r="524" spans="2:18">
      <c r="B524" s="140">
        <v>45329</v>
      </c>
      <c r="C524" s="141">
        <v>21930.5</v>
      </c>
      <c r="D524" s="142">
        <f t="shared" si="16"/>
        <v>5.0143140277199318E-5</v>
      </c>
      <c r="E524" s="50"/>
      <c r="I524" s="129">
        <v>45329</v>
      </c>
      <c r="J524" s="130">
        <v>1346.9921879999999</v>
      </c>
      <c r="K524" s="131">
        <f t="shared" si="17"/>
        <v>4.7212400863890242E-3</v>
      </c>
      <c r="P524" s="86">
        <v>494</v>
      </c>
      <c r="Q524" s="86">
        <v>-2.5383522092843583E-3</v>
      </c>
      <c r="R524" s="86">
        <v>1.5678845282780934E-2</v>
      </c>
    </row>
    <row r="525" spans="2:18">
      <c r="B525" s="140">
        <v>45330</v>
      </c>
      <c r="C525" s="141">
        <v>21717.949218999998</v>
      </c>
      <c r="D525" s="142">
        <f t="shared" si="16"/>
        <v>-9.6920170994734146E-3</v>
      </c>
      <c r="E525" s="50"/>
      <c r="I525" s="129">
        <v>45330</v>
      </c>
      <c r="J525" s="130">
        <v>1344.9986570000001</v>
      </c>
      <c r="K525" s="131">
        <f t="shared" si="17"/>
        <v>-1.4799870539411385E-3</v>
      </c>
      <c r="P525" s="86">
        <v>495</v>
      </c>
      <c r="Q525" s="86">
        <v>-5.0943546078414453E-3</v>
      </c>
      <c r="R525" s="86">
        <v>1.7847038056778515E-2</v>
      </c>
    </row>
    <row r="526" spans="2:18">
      <c r="B526" s="140">
        <v>45331</v>
      </c>
      <c r="C526" s="141">
        <v>21782.5</v>
      </c>
      <c r="D526" s="142">
        <f t="shared" si="16"/>
        <v>2.9722318782995096E-3</v>
      </c>
      <c r="E526" s="50"/>
      <c r="I526" s="129">
        <v>45331</v>
      </c>
      <c r="J526" s="130">
        <v>1342.556519</v>
      </c>
      <c r="K526" s="131">
        <f t="shared" si="17"/>
        <v>-1.8157177981480419E-3</v>
      </c>
      <c r="P526" s="86">
        <v>496</v>
      </c>
      <c r="Q526" s="86">
        <v>5.1368350642844252E-3</v>
      </c>
      <c r="R526" s="86">
        <v>-3.5270455945598427E-3</v>
      </c>
    </row>
    <row r="527" spans="2:18">
      <c r="B527" s="140">
        <v>45334</v>
      </c>
      <c r="C527" s="141">
        <v>21616.050781000002</v>
      </c>
      <c r="D527" s="142">
        <f t="shared" si="16"/>
        <v>-7.6414194422127057E-3</v>
      </c>
      <c r="E527" s="50"/>
      <c r="I527" s="129">
        <v>45334</v>
      </c>
      <c r="J527" s="130">
        <v>1328.801025</v>
      </c>
      <c r="K527" s="131">
        <f t="shared" si="17"/>
        <v>-1.024574668204341E-2</v>
      </c>
      <c r="P527" s="86">
        <v>497</v>
      </c>
      <c r="Q527" s="86">
        <v>1.9688086977251019E-3</v>
      </c>
      <c r="R527" s="86">
        <v>1.9956230434222933E-3</v>
      </c>
    </row>
    <row r="528" spans="2:18">
      <c r="B528" s="140">
        <v>45335</v>
      </c>
      <c r="C528" s="141">
        <v>21743.25</v>
      </c>
      <c r="D528" s="142">
        <f t="shared" si="16"/>
        <v>5.884480023141108E-3</v>
      </c>
      <c r="E528" s="50"/>
      <c r="I528" s="129">
        <v>45335</v>
      </c>
      <c r="J528" s="130">
        <v>1358.255737</v>
      </c>
      <c r="K528" s="131">
        <f t="shared" si="17"/>
        <v>2.2166382660639482E-2</v>
      </c>
      <c r="P528" s="86">
        <v>498</v>
      </c>
      <c r="Q528" s="86">
        <v>-6.8169294567268232E-3</v>
      </c>
      <c r="R528" s="86">
        <v>-1.4456720945363141E-2</v>
      </c>
    </row>
    <row r="529" spans="2:18">
      <c r="B529" s="140">
        <v>45336</v>
      </c>
      <c r="C529" s="141">
        <v>21840.050781000002</v>
      </c>
      <c r="D529" s="142">
        <f t="shared" si="16"/>
        <v>4.4519922734642583E-3</v>
      </c>
      <c r="E529" s="50"/>
      <c r="I529" s="129">
        <v>45336</v>
      </c>
      <c r="J529" s="130">
        <v>1376.2973629999999</v>
      </c>
      <c r="K529" s="131">
        <f t="shared" si="17"/>
        <v>1.3282937453184453E-2</v>
      </c>
      <c r="P529" s="86">
        <v>499</v>
      </c>
      <c r="Q529" s="86">
        <v>1.2598268147151841E-3</v>
      </c>
      <c r="R529" s="86">
        <v>1.68452503675505E-3</v>
      </c>
    </row>
    <row r="530" spans="2:18">
      <c r="B530" s="140">
        <v>45337</v>
      </c>
      <c r="C530" s="141">
        <v>21910.75</v>
      </c>
      <c r="D530" s="142">
        <f t="shared" si="16"/>
        <v>3.23713620031982E-3</v>
      </c>
      <c r="E530" s="50"/>
      <c r="I530" s="129">
        <v>45337</v>
      </c>
      <c r="J530" s="130">
        <v>1376.197754</v>
      </c>
      <c r="K530" s="131">
        <f t="shared" si="17"/>
        <v>-7.2374620977801768E-5</v>
      </c>
      <c r="P530" s="86">
        <v>500</v>
      </c>
      <c r="Q530" s="86">
        <v>2.7447711547256828E-3</v>
      </c>
      <c r="R530" s="86">
        <v>5.2643662519497843E-3</v>
      </c>
    </row>
    <row r="531" spans="2:18">
      <c r="B531" s="140">
        <v>45338</v>
      </c>
      <c r="C531" s="141">
        <v>22040.699218999998</v>
      </c>
      <c r="D531" s="142">
        <f t="shared" si="16"/>
        <v>5.9308430336706078E-3</v>
      </c>
      <c r="E531" s="50"/>
      <c r="I531" s="129">
        <v>45338</v>
      </c>
      <c r="J531" s="130">
        <v>1394.588135</v>
      </c>
      <c r="K531" s="131">
        <f t="shared" si="17"/>
        <v>1.3363181960257677E-2</v>
      </c>
      <c r="P531" s="86">
        <v>501</v>
      </c>
      <c r="Q531" s="86">
        <v>1.1361505712657125E-3</v>
      </c>
      <c r="R531" s="86">
        <v>2.7194968621603366E-2</v>
      </c>
    </row>
    <row r="532" spans="2:18">
      <c r="B532" s="140">
        <v>45341</v>
      </c>
      <c r="C532" s="141">
        <v>22122.25</v>
      </c>
      <c r="D532" s="142">
        <f t="shared" si="16"/>
        <v>3.7000087968943186E-3</v>
      </c>
      <c r="E532" s="50"/>
      <c r="I532" s="129">
        <v>45341</v>
      </c>
      <c r="J532" s="130">
        <v>1406.0013429999999</v>
      </c>
      <c r="K532" s="131">
        <f t="shared" si="17"/>
        <v>8.1839273643325109E-3</v>
      </c>
      <c r="P532" s="86">
        <v>502</v>
      </c>
      <c r="Q532" s="86">
        <v>8.8445740136665965E-3</v>
      </c>
      <c r="R532" s="86">
        <v>-7.4809456863231955E-3</v>
      </c>
    </row>
    <row r="533" spans="2:18">
      <c r="B533" s="140">
        <v>45342</v>
      </c>
      <c r="C533" s="141">
        <v>22196.949218999998</v>
      </c>
      <c r="D533" s="142">
        <f t="shared" si="16"/>
        <v>3.3766555843098359E-3</v>
      </c>
      <c r="E533" s="50"/>
      <c r="I533" s="129">
        <v>45342</v>
      </c>
      <c r="J533" s="130">
        <v>1390.7006839999999</v>
      </c>
      <c r="K533" s="131">
        <f t="shared" si="17"/>
        <v>-1.0882392876917755E-2</v>
      </c>
      <c r="P533" s="86">
        <v>503</v>
      </c>
      <c r="Q533" s="86">
        <v>7.1978194044316395E-3</v>
      </c>
      <c r="R533" s="86">
        <v>-1.2624090667604122E-3</v>
      </c>
    </row>
    <row r="534" spans="2:18">
      <c r="B534" s="140">
        <v>45343</v>
      </c>
      <c r="C534" s="141">
        <v>22055.050781000002</v>
      </c>
      <c r="D534" s="142">
        <f t="shared" si="16"/>
        <v>-6.3927000327835704E-3</v>
      </c>
      <c r="E534" s="50"/>
      <c r="I534" s="129">
        <v>45343</v>
      </c>
      <c r="J534" s="130">
        <v>1410.2873540000001</v>
      </c>
      <c r="K534" s="131">
        <f t="shared" si="17"/>
        <v>1.4084029888921908E-2</v>
      </c>
      <c r="P534" s="86">
        <v>504</v>
      </c>
      <c r="Q534" s="86">
        <v>-2.11747569839618E-3</v>
      </c>
      <c r="R534" s="86">
        <v>-5.0672887640803221E-3</v>
      </c>
    </row>
    <row r="535" spans="2:18">
      <c r="B535" s="140">
        <v>45344</v>
      </c>
      <c r="C535" s="141">
        <v>22217.449218999998</v>
      </c>
      <c r="D535" s="142">
        <f t="shared" si="16"/>
        <v>7.3633218808954017E-3</v>
      </c>
      <c r="E535" s="50"/>
      <c r="I535" s="129">
        <v>45344</v>
      </c>
      <c r="J535" s="130">
        <v>1427.3321530000001</v>
      </c>
      <c r="K535" s="131">
        <f t="shared" si="17"/>
        <v>1.2086046827021333E-2</v>
      </c>
      <c r="P535" s="86">
        <v>505</v>
      </c>
      <c r="Q535" s="86">
        <v>-1.5803072117350908E-2</v>
      </c>
      <c r="R535" s="86">
        <v>1.6607185185042853E-2</v>
      </c>
    </row>
    <row r="536" spans="2:18">
      <c r="B536" s="140">
        <v>45345</v>
      </c>
      <c r="C536" s="141">
        <v>22212.699218999998</v>
      </c>
      <c r="D536" s="142">
        <f t="shared" si="16"/>
        <v>-2.1379592018771796E-4</v>
      </c>
      <c r="E536" s="50"/>
      <c r="I536" s="129">
        <v>45345</v>
      </c>
      <c r="J536" s="130">
        <v>1424.8901370000001</v>
      </c>
      <c r="K536" s="131">
        <f t="shared" si="17"/>
        <v>-1.7108953896031003E-3</v>
      </c>
      <c r="P536" s="86">
        <v>506</v>
      </c>
      <c r="Q536" s="86">
        <v>-3.7471636658364467E-3</v>
      </c>
      <c r="R536" s="86">
        <v>-1.7945668752343102E-2</v>
      </c>
    </row>
    <row r="537" spans="2:18">
      <c r="B537" s="140">
        <v>45348</v>
      </c>
      <c r="C537" s="141">
        <v>22122.050781000002</v>
      </c>
      <c r="D537" s="142">
        <f t="shared" si="16"/>
        <v>-4.0809285312997396E-3</v>
      </c>
      <c r="E537" s="50"/>
      <c r="I537" s="129">
        <v>45348</v>
      </c>
      <c r="J537" s="130">
        <v>1419.457764</v>
      </c>
      <c r="K537" s="131">
        <f t="shared" si="17"/>
        <v>-3.8124855095407945E-3</v>
      </c>
      <c r="P537" s="86">
        <v>507</v>
      </c>
      <c r="Q537" s="86">
        <v>5.8212513993559445E-3</v>
      </c>
      <c r="R537" s="86">
        <v>-1.8925572223280018E-2</v>
      </c>
    </row>
    <row r="538" spans="2:18">
      <c r="B538" s="140">
        <v>45349</v>
      </c>
      <c r="C538" s="141">
        <v>22198.349609000001</v>
      </c>
      <c r="D538" s="142">
        <f t="shared" si="16"/>
        <v>3.4489943430348661E-3</v>
      </c>
      <c r="E538" s="50"/>
      <c r="I538" s="129">
        <v>45349</v>
      </c>
      <c r="J538" s="130">
        <v>1464.4123540000001</v>
      </c>
      <c r="K538" s="131">
        <f t="shared" si="17"/>
        <v>3.1670255459605244E-2</v>
      </c>
      <c r="P538" s="86">
        <v>508</v>
      </c>
      <c r="Q538" s="86">
        <v>-1.3398200017593473E-2</v>
      </c>
      <c r="R538" s="86">
        <v>-3.6386522418843693E-2</v>
      </c>
    </row>
    <row r="539" spans="2:18">
      <c r="B539" s="140">
        <v>45350</v>
      </c>
      <c r="C539" s="141">
        <v>21951.150390999999</v>
      </c>
      <c r="D539" s="142">
        <f t="shared" si="16"/>
        <v>-1.1135927776350463E-2</v>
      </c>
      <c r="E539" s="50"/>
      <c r="I539" s="129">
        <v>45350</v>
      </c>
      <c r="J539" s="130">
        <v>1529.4019780000001</v>
      </c>
      <c r="K539" s="131">
        <f t="shared" si="17"/>
        <v>4.4379319678970727E-2</v>
      </c>
      <c r="P539" s="86">
        <v>509</v>
      </c>
      <c r="Q539" s="86">
        <v>7.8558571970850505E-3</v>
      </c>
      <c r="R539" s="86">
        <v>-1.3605459875111426E-2</v>
      </c>
    </row>
    <row r="540" spans="2:18">
      <c r="B540" s="140">
        <v>45351</v>
      </c>
      <c r="C540" s="141">
        <v>21982.800781000002</v>
      </c>
      <c r="D540" s="142">
        <f t="shared" si="16"/>
        <v>1.4418556401936556E-3</v>
      </c>
      <c r="E540" s="50"/>
      <c r="I540" s="129">
        <v>45351</v>
      </c>
      <c r="J540" s="130">
        <v>1526.4117429999999</v>
      </c>
      <c r="K540" s="131">
        <f t="shared" si="17"/>
        <v>-1.9551661649545816E-3</v>
      </c>
      <c r="P540" s="86">
        <v>510</v>
      </c>
      <c r="Q540" s="86">
        <v>-3.47170194429555E-3</v>
      </c>
      <c r="R540" s="86">
        <v>-8.2087028207395683E-3</v>
      </c>
    </row>
    <row r="541" spans="2:18">
      <c r="B541" s="140">
        <v>45352</v>
      </c>
      <c r="C541" s="141">
        <v>22338.75</v>
      </c>
      <c r="D541" s="142">
        <f t="shared" si="16"/>
        <v>1.61921687116252E-2</v>
      </c>
      <c r="E541" s="50"/>
      <c r="I541" s="129">
        <v>45352</v>
      </c>
      <c r="J541" s="130">
        <v>1510.712524</v>
      </c>
      <c r="K541" s="131">
        <f t="shared" si="17"/>
        <v>-1.0285048625965569E-2</v>
      </c>
      <c r="P541" s="86">
        <v>511</v>
      </c>
      <c r="Q541" s="86">
        <v>1.3880806332641321E-2</v>
      </c>
      <c r="R541" s="86">
        <v>7.4700467122254619E-3</v>
      </c>
    </row>
    <row r="542" spans="2:18">
      <c r="B542" s="140">
        <v>45355</v>
      </c>
      <c r="C542" s="141">
        <v>22405.599609000001</v>
      </c>
      <c r="D542" s="142">
        <f t="shared" si="16"/>
        <v>2.9925402719490025E-3</v>
      </c>
      <c r="E542" s="50"/>
      <c r="I542" s="129">
        <v>45355</v>
      </c>
      <c r="J542" s="130">
        <v>1548.9388429999999</v>
      </c>
      <c r="K542" s="131">
        <f t="shared" si="17"/>
        <v>2.5303503077333245E-2</v>
      </c>
      <c r="P542" s="86">
        <v>512</v>
      </c>
      <c r="Q542" s="86">
        <v>-7.4292826952774603E-3</v>
      </c>
      <c r="R542" s="86">
        <v>-9.8709869406339891E-3</v>
      </c>
    </row>
    <row r="543" spans="2:18">
      <c r="B543" s="140">
        <v>45356</v>
      </c>
      <c r="C543" s="141">
        <v>22356.300781000002</v>
      </c>
      <c r="D543" s="142">
        <f t="shared" si="16"/>
        <v>-2.2002905014957257E-3</v>
      </c>
      <c r="E543" s="50"/>
      <c r="I543" s="129">
        <v>45356</v>
      </c>
      <c r="J543" s="130">
        <v>1535.18335</v>
      </c>
      <c r="K543" s="131">
        <f t="shared" si="17"/>
        <v>-8.8805914204837903E-3</v>
      </c>
      <c r="P543" s="86">
        <v>513</v>
      </c>
      <c r="Q543" s="86">
        <v>7.3449620696639613E-3</v>
      </c>
      <c r="R543" s="86">
        <v>-7.8854930868686481E-3</v>
      </c>
    </row>
    <row r="544" spans="2:18">
      <c r="B544" s="140">
        <v>45357</v>
      </c>
      <c r="C544" s="141">
        <v>22474.050781000002</v>
      </c>
      <c r="D544" s="142">
        <f t="shared" si="16"/>
        <v>5.2669715420930662E-3</v>
      </c>
      <c r="E544" s="50"/>
      <c r="I544" s="129">
        <v>45357</v>
      </c>
      <c r="J544" s="130">
        <v>1512.805664</v>
      </c>
      <c r="K544" s="131">
        <f t="shared" si="17"/>
        <v>-1.4576555953398036E-2</v>
      </c>
      <c r="P544" s="86">
        <v>514</v>
      </c>
      <c r="Q544" s="86">
        <v>-8.6077759391939822E-4</v>
      </c>
      <c r="R544" s="86">
        <v>1.882582320297153E-2</v>
      </c>
    </row>
    <row r="545" spans="2:18">
      <c r="B545" s="140">
        <v>45358</v>
      </c>
      <c r="C545" s="141">
        <v>22493.550781000002</v>
      </c>
      <c r="D545" s="142">
        <f t="shared" si="16"/>
        <v>8.6766734622161119E-4</v>
      </c>
      <c r="E545" s="50"/>
      <c r="I545" s="129">
        <v>45358</v>
      </c>
      <c r="J545" s="130">
        <v>1538.173706</v>
      </c>
      <c r="K545" s="131">
        <f t="shared" si="17"/>
        <v>1.6768870320675942E-2</v>
      </c>
      <c r="P545" s="86">
        <v>515</v>
      </c>
      <c r="Q545" s="86">
        <v>5.6260514721967947E-3</v>
      </c>
      <c r="R545" s="86">
        <v>1.4684303252585327E-2</v>
      </c>
    </row>
    <row r="546" spans="2:18">
      <c r="B546" s="140">
        <v>45362</v>
      </c>
      <c r="C546" s="141">
        <v>22332.650390999999</v>
      </c>
      <c r="D546" s="142">
        <f t="shared" si="16"/>
        <v>-7.1531787740650044E-3</v>
      </c>
      <c r="E546" s="50"/>
      <c r="I546" s="129">
        <v>45362</v>
      </c>
      <c r="J546" s="130">
        <v>1537.4758300000001</v>
      </c>
      <c r="K546" s="131">
        <f t="shared" si="17"/>
        <v>-4.5370428403354276E-4</v>
      </c>
      <c r="P546" s="86">
        <v>516</v>
      </c>
      <c r="Q546" s="86">
        <v>-2.7341240241699656E-3</v>
      </c>
      <c r="R546" s="86">
        <v>1.5784969916148627E-3</v>
      </c>
    </row>
    <row r="547" spans="2:18">
      <c r="B547" s="140">
        <v>45363</v>
      </c>
      <c r="C547" s="141">
        <v>22335.699218999998</v>
      </c>
      <c r="D547" s="142">
        <f t="shared" si="16"/>
        <v>1.3651886124665786E-4</v>
      </c>
      <c r="E547" s="50"/>
      <c r="I547" s="129">
        <v>45363</v>
      </c>
      <c r="J547" s="130">
        <v>1497.1563719999999</v>
      </c>
      <c r="K547" s="131">
        <f t="shared" si="17"/>
        <v>-2.6224449980459311E-2</v>
      </c>
      <c r="P547" s="86">
        <v>517</v>
      </c>
      <c r="Q547" s="86">
        <v>5.6545830516137223E-3</v>
      </c>
      <c r="R547" s="86">
        <v>-1.7359690436933731E-3</v>
      </c>
    </row>
    <row r="548" spans="2:18">
      <c r="B548" s="140">
        <v>45364</v>
      </c>
      <c r="C548" s="141">
        <v>21997.699218999998</v>
      </c>
      <c r="D548" s="142">
        <f t="shared" si="16"/>
        <v>-1.5132725270247114E-2</v>
      </c>
      <c r="E548" s="50"/>
      <c r="I548" s="129">
        <v>45364</v>
      </c>
      <c r="J548" s="130">
        <v>1469.296509</v>
      </c>
      <c r="K548" s="131">
        <f t="shared" si="17"/>
        <v>-1.8608519137371649E-2</v>
      </c>
      <c r="P548" s="86">
        <v>518</v>
      </c>
      <c r="Q548" s="86">
        <v>1.6906198717976808E-4</v>
      </c>
      <c r="R548" s="86">
        <v>4.5521780992092559E-3</v>
      </c>
    </row>
    <row r="549" spans="2:18">
      <c r="B549" s="140">
        <v>45365</v>
      </c>
      <c r="C549" s="141">
        <v>22146.650390999999</v>
      </c>
      <c r="D549" s="142">
        <f t="shared" si="16"/>
        <v>6.7712159584102259E-3</v>
      </c>
      <c r="E549" s="50"/>
      <c r="I549" s="129">
        <v>45365</v>
      </c>
      <c r="J549" s="130">
        <v>1512.0581050000001</v>
      </c>
      <c r="K549" s="131">
        <f t="shared" si="17"/>
        <v>2.9103448989410245E-2</v>
      </c>
      <c r="P549" s="86">
        <v>519</v>
      </c>
      <c r="Q549" s="86">
        <v>-7.2602305565839147E-3</v>
      </c>
      <c r="R549" s="86">
        <v>5.7802435026427764E-3</v>
      </c>
    </row>
    <row r="550" spans="2:18">
      <c r="B550" s="140">
        <v>45366</v>
      </c>
      <c r="C550" s="141">
        <v>22023.349609000001</v>
      </c>
      <c r="D550" s="142">
        <f t="shared" si="16"/>
        <v>-5.567468661089519E-3</v>
      </c>
      <c r="E550" s="50"/>
      <c r="I550" s="129">
        <v>45366</v>
      </c>
      <c r="J550" s="130">
        <v>1477.5198969999999</v>
      </c>
      <c r="K550" s="131">
        <f t="shared" si="17"/>
        <v>-2.2841852363868098E-2</v>
      </c>
      <c r="P550" s="86">
        <v>520</v>
      </c>
      <c r="Q550" s="86">
        <v>2.397423206801906E-3</v>
      </c>
      <c r="R550" s="86">
        <v>-4.2131410049499477E-3</v>
      </c>
    </row>
    <row r="551" spans="2:18">
      <c r="B551" s="140">
        <v>45369</v>
      </c>
      <c r="C551" s="141">
        <v>22055.699218999998</v>
      </c>
      <c r="D551" s="142">
        <f t="shared" si="16"/>
        <v>1.4688778307718269E-3</v>
      </c>
      <c r="E551" s="50"/>
      <c r="I551" s="129">
        <v>45369</v>
      </c>
      <c r="J551" s="130">
        <v>1496.807495</v>
      </c>
      <c r="K551" s="131">
        <f t="shared" si="17"/>
        <v>1.3054036049979581E-2</v>
      </c>
      <c r="P551" s="86">
        <v>521</v>
      </c>
      <c r="Q551" s="86">
        <v>-5.6964613811206046E-3</v>
      </c>
      <c r="R551" s="86">
        <v>-4.549285300922805E-3</v>
      </c>
    </row>
    <row r="552" spans="2:18">
      <c r="B552" s="140">
        <v>45370</v>
      </c>
      <c r="C552" s="141">
        <v>21817.449218999998</v>
      </c>
      <c r="D552" s="142">
        <f t="shared" si="16"/>
        <v>-1.0802196640166288E-2</v>
      </c>
      <c r="E552" s="50"/>
      <c r="I552" s="129">
        <v>45370</v>
      </c>
      <c r="J552" s="130">
        <v>1452.550659</v>
      </c>
      <c r="K552" s="131">
        <f t="shared" si="17"/>
        <v>-2.9567486899843471E-2</v>
      </c>
      <c r="P552" s="86">
        <v>522</v>
      </c>
      <c r="Q552" s="86">
        <v>4.6182800697162404E-3</v>
      </c>
      <c r="R552" s="86">
        <v>1.7548102590923244E-2</v>
      </c>
    </row>
    <row r="553" spans="2:18">
      <c r="B553" s="140">
        <v>45371</v>
      </c>
      <c r="C553" s="141">
        <v>21839.099609000001</v>
      </c>
      <c r="D553" s="142">
        <f t="shared" si="16"/>
        <v>9.9234286202201888E-4</v>
      </c>
      <c r="E553" s="50"/>
      <c r="I553" s="129">
        <v>45371</v>
      </c>
      <c r="J553" s="130">
        <v>1456.4879149999999</v>
      </c>
      <c r="K553" s="131">
        <f t="shared" si="17"/>
        <v>2.7105808500410681E-3</v>
      </c>
      <c r="P553" s="86">
        <v>523</v>
      </c>
      <c r="Q553" s="86">
        <v>3.525876506666299E-3</v>
      </c>
      <c r="R553" s="86">
        <v>9.7570609465181535E-3</v>
      </c>
    </row>
    <row r="554" spans="2:18">
      <c r="B554" s="140">
        <v>45372</v>
      </c>
      <c r="C554" s="141">
        <v>22011.949218999998</v>
      </c>
      <c r="D554" s="142">
        <f t="shared" si="16"/>
        <v>7.9146857285620556E-3</v>
      </c>
      <c r="E554" s="50"/>
      <c r="I554" s="129">
        <v>45372</v>
      </c>
      <c r="J554" s="130">
        <v>1480.2611079999999</v>
      </c>
      <c r="K554" s="131">
        <f t="shared" si="17"/>
        <v>1.6322272746080418E-2</v>
      </c>
      <c r="P554" s="86">
        <v>524</v>
      </c>
      <c r="Q554" s="86">
        <v>2.5994370985839453E-3</v>
      </c>
      <c r="R554" s="86">
        <v>-2.6718117195617471E-3</v>
      </c>
    </row>
    <row r="555" spans="2:18">
      <c r="B555" s="140">
        <v>45373</v>
      </c>
      <c r="C555" s="141">
        <v>22096.75</v>
      </c>
      <c r="D555" s="142">
        <f t="shared" si="16"/>
        <v>3.8524884896065661E-3</v>
      </c>
      <c r="E555" s="50"/>
      <c r="I555" s="129">
        <v>45373</v>
      </c>
      <c r="J555" s="130">
        <v>1464.5119629999999</v>
      </c>
      <c r="K555" s="131">
        <f t="shared" si="17"/>
        <v>-1.0639437133681687E-2</v>
      </c>
      <c r="P555" s="86">
        <v>525</v>
      </c>
      <c r="Q555" s="86">
        <v>4.6536361262741925E-3</v>
      </c>
      <c r="R555" s="86">
        <v>8.7095458339834855E-3</v>
      </c>
    </row>
    <row r="556" spans="2:18">
      <c r="B556" s="140">
        <v>45377</v>
      </c>
      <c r="C556" s="141">
        <v>22004.699218999998</v>
      </c>
      <c r="D556" s="142">
        <f t="shared" si="16"/>
        <v>-4.1658063289851102E-3</v>
      </c>
      <c r="E556" s="50"/>
      <c r="I556" s="129">
        <v>45377</v>
      </c>
      <c r="J556" s="130">
        <v>1482.753052</v>
      </c>
      <c r="K556" s="131">
        <f t="shared" si="17"/>
        <v>1.2455404572205672E-2</v>
      </c>
      <c r="P556" s="86">
        <v>526</v>
      </c>
      <c r="Q556" s="86">
        <v>2.9524199941446416E-3</v>
      </c>
      <c r="R556" s="86">
        <v>5.2315073701878698E-3</v>
      </c>
    </row>
    <row r="557" spans="2:18">
      <c r="B557" s="140">
        <v>45378</v>
      </c>
      <c r="C557" s="141">
        <v>22123.650390999999</v>
      </c>
      <c r="D557" s="142">
        <f t="shared" si="16"/>
        <v>5.4057167887708434E-3</v>
      </c>
      <c r="E557" s="50"/>
      <c r="I557" s="129">
        <v>45378</v>
      </c>
      <c r="J557" s="130">
        <v>1483.60022</v>
      </c>
      <c r="K557" s="131">
        <f t="shared" si="17"/>
        <v>5.7134800623564021E-4</v>
      </c>
      <c r="P557" s="86">
        <v>527</v>
      </c>
      <c r="Q557" s="86">
        <v>2.7058334515158346E-3</v>
      </c>
      <c r="R557" s="86">
        <v>-1.3588226328433589E-2</v>
      </c>
    </row>
    <row r="558" spans="2:18">
      <c r="B558" s="140">
        <v>45379</v>
      </c>
      <c r="C558" s="141">
        <v>22326.900390999999</v>
      </c>
      <c r="D558" s="142">
        <f t="shared" si="16"/>
        <v>9.1870010783881764E-3</v>
      </c>
      <c r="E558" s="50"/>
      <c r="I558" s="129">
        <v>45379</v>
      </c>
      <c r="J558" s="130">
        <v>1510.1145019999999</v>
      </c>
      <c r="K558" s="131">
        <f t="shared" si="17"/>
        <v>1.7871581334761372E-2</v>
      </c>
      <c r="P558" s="86">
        <v>528</v>
      </c>
      <c r="Q558" s="86">
        <v>-4.744198066884424E-3</v>
      </c>
      <c r="R558" s="86">
        <v>1.8828227955806333E-2</v>
      </c>
    </row>
    <row r="559" spans="2:18">
      <c r="B559" s="140">
        <v>45383</v>
      </c>
      <c r="C559" s="141">
        <v>22462</v>
      </c>
      <c r="D559" s="142">
        <f t="shared" si="16"/>
        <v>6.0509791611942513E-3</v>
      </c>
      <c r="E559" s="50"/>
      <c r="I559" s="129">
        <v>45383</v>
      </c>
      <c r="J559" s="130">
        <v>1509.5661620000001</v>
      </c>
      <c r="K559" s="131">
        <f t="shared" si="17"/>
        <v>-3.6311153841222138E-4</v>
      </c>
      <c r="P559" s="86">
        <v>529</v>
      </c>
      <c r="Q559" s="86">
        <v>5.7460329003862533E-3</v>
      </c>
      <c r="R559" s="86">
        <v>6.3400139266350797E-3</v>
      </c>
    </row>
    <row r="560" spans="2:18">
      <c r="B560" s="140">
        <v>45384</v>
      </c>
      <c r="C560" s="141">
        <v>22453.300781000002</v>
      </c>
      <c r="D560" s="142">
        <f t="shared" si="16"/>
        <v>-3.8728603864296435E-4</v>
      </c>
      <c r="E560" s="50"/>
      <c r="I560" s="129">
        <v>45384</v>
      </c>
      <c r="J560" s="130">
        <v>1539.1704099999999</v>
      </c>
      <c r="K560" s="131">
        <f t="shared" si="17"/>
        <v>1.9611096714553852E-2</v>
      </c>
      <c r="P560" s="86">
        <v>530</v>
      </c>
      <c r="Q560" s="86">
        <v>-3.221580395315599E-5</v>
      </c>
      <c r="R560" s="86">
        <v>-1.6786795856499443E-3</v>
      </c>
    </row>
    <row r="561" spans="2:18">
      <c r="B561" s="140">
        <v>45385</v>
      </c>
      <c r="C561" s="141">
        <v>22434.650390999999</v>
      </c>
      <c r="D561" s="142">
        <f t="shared" si="16"/>
        <v>-8.3063021254249126E-4</v>
      </c>
      <c r="E561" s="50"/>
      <c r="I561" s="129">
        <v>45385</v>
      </c>
      <c r="J561" s="130">
        <v>1545.5498050000001</v>
      </c>
      <c r="K561" s="131">
        <f t="shared" si="17"/>
        <v>4.1446970124641097E-3</v>
      </c>
      <c r="P561" s="86">
        <v>531</v>
      </c>
      <c r="Q561" s="86">
        <v>-2.9812598318119479E-3</v>
      </c>
      <c r="R561" s="86">
        <v>-8.3122567772884667E-4</v>
      </c>
    </row>
    <row r="562" spans="2:18">
      <c r="B562" s="140">
        <v>45386</v>
      </c>
      <c r="C562" s="141">
        <v>22514.650390999999</v>
      </c>
      <c r="D562" s="142">
        <f t="shared" si="16"/>
        <v>3.5659124883039503E-3</v>
      </c>
      <c r="E562" s="50"/>
      <c r="I562" s="129">
        <v>45386</v>
      </c>
      <c r="J562" s="130">
        <v>1533.787842</v>
      </c>
      <c r="K562" s="131">
        <f t="shared" si="17"/>
        <v>-7.6102128588474375E-3</v>
      </c>
      <c r="P562" s="86">
        <v>532</v>
      </c>
      <c r="Q562" s="86">
        <v>2.7609984033945922E-3</v>
      </c>
      <c r="R562" s="86">
        <v>2.8909257056210651E-2</v>
      </c>
    </row>
    <row r="563" spans="2:18">
      <c r="B563" s="140">
        <v>45387</v>
      </c>
      <c r="C563" s="141">
        <v>22513.699218999998</v>
      </c>
      <c r="D563" s="142">
        <f t="shared" si="16"/>
        <v>-4.2246803014146424E-5</v>
      </c>
      <c r="E563" s="50"/>
      <c r="I563" s="129">
        <v>45387</v>
      </c>
      <c r="J563" s="130">
        <v>1545.1011960000001</v>
      </c>
      <c r="K563" s="131">
        <f t="shared" si="17"/>
        <v>7.3760879374607262E-3</v>
      </c>
      <c r="P563" s="86">
        <v>533</v>
      </c>
      <c r="Q563" s="86">
        <v>-8.3613451514571793E-3</v>
      </c>
      <c r="R563" s="86">
        <v>5.2740664830427907E-2</v>
      </c>
    </row>
    <row r="564" spans="2:18">
      <c r="B564" s="140">
        <v>45390</v>
      </c>
      <c r="C564" s="141">
        <v>22666.300781000002</v>
      </c>
      <c r="D564" s="142">
        <f t="shared" si="16"/>
        <v>6.7781647305307493E-3</v>
      </c>
      <c r="E564" s="50"/>
      <c r="I564" s="129">
        <v>45390</v>
      </c>
      <c r="J564" s="130">
        <v>1525.2155760000001</v>
      </c>
      <c r="K564" s="131">
        <f t="shared" si="17"/>
        <v>-1.2870108476700717E-2</v>
      </c>
      <c r="P564" s="86">
        <v>534</v>
      </c>
      <c r="Q564" s="86">
        <v>1.2303706748057804E-3</v>
      </c>
      <c r="R564" s="86">
        <v>-3.185536839760362E-3</v>
      </c>
    </row>
    <row r="565" spans="2:18">
      <c r="B565" s="140">
        <v>45391</v>
      </c>
      <c r="C565" s="141">
        <v>22642.75</v>
      </c>
      <c r="D565" s="142">
        <f t="shared" si="16"/>
        <v>-1.0390218160231575E-3</v>
      </c>
      <c r="E565" s="50"/>
      <c r="I565" s="129">
        <v>45391</v>
      </c>
      <c r="J565" s="130">
        <v>1507.8217770000001</v>
      </c>
      <c r="K565" s="131">
        <f t="shared" si="17"/>
        <v>-1.140415772937264E-2</v>
      </c>
      <c r="P565" s="86">
        <v>535</v>
      </c>
      <c r="Q565" s="86">
        <v>1.247884003097925E-2</v>
      </c>
      <c r="R565" s="86">
        <v>-2.2763888656944821E-2</v>
      </c>
    </row>
    <row r="566" spans="2:18">
      <c r="B566" s="140">
        <v>45392</v>
      </c>
      <c r="C566" s="141">
        <v>22753.800781000002</v>
      </c>
      <c r="D566" s="142">
        <f t="shared" si="16"/>
        <v>4.9044741031898393E-3</v>
      </c>
      <c r="E566" s="50"/>
      <c r="I566" s="129">
        <v>45392</v>
      </c>
      <c r="J566" s="130">
        <v>1496.4586179999999</v>
      </c>
      <c r="K566" s="131">
        <f t="shared" si="17"/>
        <v>-7.536141985300576E-3</v>
      </c>
      <c r="P566" s="86">
        <v>536</v>
      </c>
      <c r="Q566" s="86">
        <v>2.4129102234186493E-3</v>
      </c>
      <c r="R566" s="86">
        <v>2.2890592853914597E-2</v>
      </c>
    </row>
    <row r="567" spans="2:18">
      <c r="B567" s="140">
        <v>45394</v>
      </c>
      <c r="C567" s="141">
        <v>22519.400390999999</v>
      </c>
      <c r="D567" s="142">
        <f t="shared" si="16"/>
        <v>-1.0301592786895311E-2</v>
      </c>
      <c r="E567" s="50"/>
      <c r="I567" s="129">
        <v>45394</v>
      </c>
      <c r="J567" s="130">
        <v>1505.778442</v>
      </c>
      <c r="K567" s="131">
        <f t="shared" si="17"/>
        <v>6.2279196283128715E-3</v>
      </c>
      <c r="P567" s="86">
        <v>537</v>
      </c>
      <c r="Q567" s="86">
        <v>-1.5471004925585582E-3</v>
      </c>
      <c r="R567" s="86">
        <v>-7.3334909279252321E-3</v>
      </c>
    </row>
    <row r="568" spans="2:18">
      <c r="B568" s="140">
        <v>45397</v>
      </c>
      <c r="C568" s="141">
        <v>22272.5</v>
      </c>
      <c r="D568" s="142">
        <f t="shared" si="16"/>
        <v>-1.0963897204770794E-2</v>
      </c>
      <c r="E568" s="50"/>
      <c r="I568" s="129">
        <v>45397</v>
      </c>
      <c r="J568" s="130">
        <v>1496.7576899999999</v>
      </c>
      <c r="K568" s="131">
        <f t="shared" si="17"/>
        <v>-5.9907565073242892E-3</v>
      </c>
      <c r="P568" s="86">
        <v>538</v>
      </c>
      <c r="Q568" s="86">
        <v>4.147373100311014E-3</v>
      </c>
      <c r="R568" s="86">
        <v>-1.8723929053709051E-2</v>
      </c>
    </row>
    <row r="569" spans="2:18">
      <c r="B569" s="140">
        <v>45398</v>
      </c>
      <c r="C569" s="141">
        <v>22147.900390999999</v>
      </c>
      <c r="D569" s="142">
        <f t="shared" si="16"/>
        <v>-5.5943252441351798E-3</v>
      </c>
      <c r="E569" s="50"/>
      <c r="I569" s="129">
        <v>45398</v>
      </c>
      <c r="J569" s="130">
        <v>1477.2208250000001</v>
      </c>
      <c r="K569" s="131">
        <f t="shared" si="17"/>
        <v>-1.3052790796083905E-2</v>
      </c>
      <c r="P569" s="86">
        <v>539</v>
      </c>
      <c r="Q569" s="86">
        <v>7.9249932942211058E-4</v>
      </c>
      <c r="R569" s="86">
        <v>1.5976370991253833E-2</v>
      </c>
    </row>
    <row r="570" spans="2:18">
      <c r="B570" s="140">
        <v>45400</v>
      </c>
      <c r="C570" s="141">
        <v>21995.849609000001</v>
      </c>
      <c r="D570" s="142">
        <f t="shared" si="16"/>
        <v>-6.8652458840651846E-3</v>
      </c>
      <c r="E570" s="50"/>
      <c r="I570" s="129">
        <v>45400</v>
      </c>
      <c r="J570" s="130">
        <v>1488.883057</v>
      </c>
      <c r="K570" s="131">
        <f t="shared" si="17"/>
        <v>7.8947113408043799E-3</v>
      </c>
      <c r="P570" s="86">
        <v>540</v>
      </c>
      <c r="Q570" s="86">
        <v>-5.3241329995126286E-3</v>
      </c>
      <c r="R570" s="86">
        <v>4.8704287154790861E-3</v>
      </c>
    </row>
    <row r="571" spans="2:18">
      <c r="B571" s="140">
        <v>45401</v>
      </c>
      <c r="C571" s="141">
        <v>22147</v>
      </c>
      <c r="D571" s="142">
        <f t="shared" si="16"/>
        <v>6.8717687057722604E-3</v>
      </c>
      <c r="E571" s="50"/>
      <c r="I571" s="129">
        <v>45401</v>
      </c>
      <c r="J571" s="130">
        <v>1496.8572999999999</v>
      </c>
      <c r="K571" s="131">
        <f t="shared" si="17"/>
        <v>5.3558558293137241E-3</v>
      </c>
      <c r="P571" s="86">
        <v>541</v>
      </c>
      <c r="Q571" s="86">
        <v>2.3493141284803627E-4</v>
      </c>
      <c r="R571" s="86">
        <v>-2.6459381393307349E-2</v>
      </c>
    </row>
    <row r="572" spans="2:18">
      <c r="B572" s="140">
        <v>45404</v>
      </c>
      <c r="C572" s="141">
        <v>22336.400390999999</v>
      </c>
      <c r="D572" s="142">
        <f t="shared" si="16"/>
        <v>8.5519659999096585E-3</v>
      </c>
      <c r="E572" s="50"/>
      <c r="I572" s="129">
        <v>45404</v>
      </c>
      <c r="J572" s="130">
        <v>1545.7491460000001</v>
      </c>
      <c r="K572" s="131">
        <f t="shared" si="17"/>
        <v>3.2662997334482198E-2</v>
      </c>
      <c r="P572" s="86">
        <v>542</v>
      </c>
      <c r="Q572" s="86">
        <v>-1.1409270569393015E-2</v>
      </c>
      <c r="R572" s="86">
        <v>-7.1992485679786347E-3</v>
      </c>
    </row>
    <row r="573" spans="2:18">
      <c r="B573" s="140">
        <v>45405</v>
      </c>
      <c r="C573" s="141">
        <v>22368</v>
      </c>
      <c r="D573" s="142">
        <f t="shared" si="16"/>
        <v>1.4147135817252454E-3</v>
      </c>
      <c r="E573" s="50"/>
      <c r="I573" s="129">
        <v>45405</v>
      </c>
      <c r="J573" s="130">
        <v>1542.95813</v>
      </c>
      <c r="K573" s="131">
        <f t="shared" si="17"/>
        <v>-1.8056073375311615E-3</v>
      </c>
      <c r="P573" s="86">
        <v>543</v>
      </c>
      <c r="Q573" s="86">
        <v>5.2944977165274793E-3</v>
      </c>
      <c r="R573" s="86">
        <v>2.3808951272882767E-2</v>
      </c>
    </row>
    <row r="574" spans="2:18">
      <c r="B574" s="140">
        <v>45406</v>
      </c>
      <c r="C574" s="141">
        <v>22402.400390999999</v>
      </c>
      <c r="D574" s="142">
        <f t="shared" si="16"/>
        <v>1.5379287821888062E-3</v>
      </c>
      <c r="E574" s="50"/>
      <c r="I574" s="129">
        <v>45406</v>
      </c>
      <c r="J574" s="130">
        <v>1563.0432129999999</v>
      </c>
      <c r="K574" s="131">
        <f t="shared" si="17"/>
        <v>1.3017257312095657E-2</v>
      </c>
      <c r="P574" s="86">
        <v>544</v>
      </c>
      <c r="Q574" s="86">
        <v>-4.114883302424808E-3</v>
      </c>
      <c r="R574" s="86">
        <v>-1.8726969061443291E-2</v>
      </c>
    </row>
    <row r="575" spans="2:18">
      <c r="B575" s="140">
        <v>45407</v>
      </c>
      <c r="C575" s="141">
        <v>22570.349609000001</v>
      </c>
      <c r="D575" s="142">
        <f t="shared" si="16"/>
        <v>7.4969295731127962E-3</v>
      </c>
      <c r="E575" s="50"/>
      <c r="I575" s="129">
        <v>45407</v>
      </c>
      <c r="J575" s="130">
        <v>1555.5673830000001</v>
      </c>
      <c r="K575" s="131">
        <f t="shared" si="17"/>
        <v>-4.7828684055709857E-3</v>
      </c>
      <c r="P575" s="86">
        <v>545</v>
      </c>
      <c r="Q575" s="86">
        <v>1.2509775786174663E-3</v>
      </c>
      <c r="R575" s="86">
        <v>1.1803058471362114E-2</v>
      </c>
    </row>
    <row r="576" spans="2:18">
      <c r="B576" s="140">
        <v>45408</v>
      </c>
      <c r="C576" s="141">
        <v>22419.949218999998</v>
      </c>
      <c r="D576" s="142">
        <f t="shared" si="16"/>
        <v>-6.6636269533029242E-3</v>
      </c>
      <c r="E576" s="50"/>
      <c r="I576" s="129">
        <v>45408</v>
      </c>
      <c r="J576" s="130">
        <v>1634.7612300000001</v>
      </c>
      <c r="K576" s="131">
        <f t="shared" si="17"/>
        <v>5.0909943127805994E-2</v>
      </c>
      <c r="P576" s="86">
        <v>546</v>
      </c>
      <c r="Q576" s="86">
        <v>-8.1068444882923182E-3</v>
      </c>
      <c r="R576" s="86">
        <v>-2.1460642411551153E-2</v>
      </c>
    </row>
    <row r="577" spans="2:18">
      <c r="B577" s="140">
        <v>45411</v>
      </c>
      <c r="C577" s="141">
        <v>22643.400390999999</v>
      </c>
      <c r="D577" s="142">
        <f t="shared" si="16"/>
        <v>9.9666225742668108E-3</v>
      </c>
      <c r="E577" s="50"/>
      <c r="I577" s="129">
        <v>45411</v>
      </c>
      <c r="J577" s="130">
        <v>1639.1469729999999</v>
      </c>
      <c r="K577" s="131">
        <f t="shared" si="17"/>
        <v>2.6828034085441457E-3</v>
      </c>
      <c r="P577" s="86">
        <v>547</v>
      </c>
      <c r="Q577" s="86">
        <v>8.8757586862195956E-4</v>
      </c>
      <c r="R577" s="86">
        <v>1.8230049814191086E-3</v>
      </c>
    </row>
    <row r="578" spans="2:18">
      <c r="B578" s="140">
        <v>45412</v>
      </c>
      <c r="C578" s="141">
        <v>22604.849609000001</v>
      </c>
      <c r="D578" s="142">
        <f t="shared" si="16"/>
        <v>-1.7025173487335891E-3</v>
      </c>
      <c r="E578" s="50"/>
      <c r="I578" s="129">
        <v>45412</v>
      </c>
      <c r="J578" s="130">
        <v>1658.6339109999999</v>
      </c>
      <c r="K578" s="131">
        <f t="shared" si="17"/>
        <v>1.1888462914545497E-2</v>
      </c>
      <c r="P578" s="86">
        <v>548</v>
      </c>
      <c r="Q578" s="86">
        <v>6.1664985077632458E-3</v>
      </c>
      <c r="R578" s="86">
        <v>1.0155774238317173E-2</v>
      </c>
    </row>
    <row r="579" spans="2:18">
      <c r="B579" s="140">
        <v>45414</v>
      </c>
      <c r="C579" s="141">
        <v>22648.199218999998</v>
      </c>
      <c r="D579" s="142">
        <f t="shared" si="16"/>
        <v>1.917712824894799E-3</v>
      </c>
      <c r="E579" s="50"/>
      <c r="I579" s="129">
        <v>45414</v>
      </c>
      <c r="J579" s="130">
        <v>1662.272217</v>
      </c>
      <c r="K579" s="131">
        <f t="shared" si="17"/>
        <v>2.1935557785662911E-3</v>
      </c>
      <c r="P579" s="86">
        <v>549</v>
      </c>
      <c r="Q579" s="86">
        <v>3.0686997736046719E-3</v>
      </c>
      <c r="R579" s="86">
        <v>-1.370813690728636E-2</v>
      </c>
    </row>
    <row r="580" spans="2:18">
      <c r="B580" s="140">
        <v>45415</v>
      </c>
      <c r="C580" s="141">
        <v>22475.849609000001</v>
      </c>
      <c r="D580" s="142">
        <f t="shared" si="16"/>
        <v>-7.609859324065384E-3</v>
      </c>
      <c r="E580" s="50"/>
      <c r="I580" s="129">
        <v>45415</v>
      </c>
      <c r="J580" s="130">
        <v>1658.1854249999999</v>
      </c>
      <c r="K580" s="131">
        <f t="shared" si="17"/>
        <v>-2.4585576045876123E-3</v>
      </c>
      <c r="P580" s="86">
        <v>550</v>
      </c>
      <c r="Q580" s="86">
        <v>-3.0459869533082731E-3</v>
      </c>
      <c r="R580" s="86">
        <v>1.5501391525513945E-2</v>
      </c>
    </row>
    <row r="581" spans="2:18">
      <c r="B581" s="140">
        <v>45418</v>
      </c>
      <c r="C581" s="141">
        <v>22442.699218999998</v>
      </c>
      <c r="D581" s="142">
        <f t="shared" si="16"/>
        <v>-1.4749337878968594E-3</v>
      </c>
      <c r="E581" s="50"/>
      <c r="I581" s="129">
        <v>45418</v>
      </c>
      <c r="J581" s="130">
        <v>1669.7977289999999</v>
      </c>
      <c r="K581" s="131">
        <f t="shared" si="17"/>
        <v>7.0030189778082239E-3</v>
      </c>
      <c r="P581" s="86">
        <v>551</v>
      </c>
      <c r="Q581" s="86">
        <v>4.253179102394619E-3</v>
      </c>
      <c r="R581" s="86">
        <v>-3.6818310961589788E-3</v>
      </c>
    </row>
    <row r="582" spans="2:18">
      <c r="B582" s="140">
        <v>45419</v>
      </c>
      <c r="C582" s="141">
        <v>22302.5</v>
      </c>
      <c r="D582" s="142">
        <f t="shared" si="16"/>
        <v>-6.2469856068518509E-3</v>
      </c>
      <c r="E582" s="50"/>
      <c r="I582" s="129">
        <v>45419</v>
      </c>
      <c r="J582" s="130">
        <v>1667.5550539999999</v>
      </c>
      <c r="K582" s="131">
        <f t="shared" si="17"/>
        <v>-1.3430818362311734E-3</v>
      </c>
      <c r="P582" s="86">
        <v>552</v>
      </c>
      <c r="Q582" s="86">
        <v>7.1367558951557211E-3</v>
      </c>
      <c r="R582" s="86">
        <v>1.073482543960565E-2</v>
      </c>
    </row>
    <row r="583" spans="2:18">
      <c r="B583" s="140">
        <v>45420</v>
      </c>
      <c r="C583" s="141">
        <v>22302.5</v>
      </c>
      <c r="D583" s="142">
        <f t="shared" si="16"/>
        <v>0</v>
      </c>
      <c r="E583" s="50"/>
      <c r="I583" s="129">
        <v>45420</v>
      </c>
      <c r="J583" s="130">
        <v>1685.6964109999999</v>
      </c>
      <c r="K583" s="131">
        <f t="shared" si="17"/>
        <v>1.0879015332347745E-2</v>
      </c>
      <c r="P583" s="86">
        <v>553</v>
      </c>
      <c r="Q583" s="86">
        <v>4.7452509647169334E-3</v>
      </c>
      <c r="R583" s="86">
        <v>-5.1083625031291546E-3</v>
      </c>
    </row>
    <row r="584" spans="2:18">
      <c r="B584" s="140">
        <v>45421</v>
      </c>
      <c r="C584" s="141">
        <v>21957.5</v>
      </c>
      <c r="D584" s="142">
        <f t="shared" ref="D584:D637" si="18">(C584-C583)/C583</f>
        <v>-1.5469117811904494E-2</v>
      </c>
      <c r="E584" s="50"/>
      <c r="I584" s="129">
        <v>45421</v>
      </c>
      <c r="J584" s="130">
        <v>1668.153198</v>
      </c>
      <c r="K584" s="131">
        <f t="shared" ref="K584:K637" si="19">(J584-J583)/J583</f>
        <v>-1.040710111590783E-2</v>
      </c>
      <c r="P584" s="86">
        <v>554</v>
      </c>
      <c r="Q584" s="86">
        <v>-1.6451796402204382E-4</v>
      </c>
      <c r="R584" s="86">
        <v>1.9775614678575894E-2</v>
      </c>
    </row>
    <row r="585" spans="2:18">
      <c r="B585" s="140">
        <v>45422</v>
      </c>
      <c r="C585" s="141">
        <v>22055.199218999998</v>
      </c>
      <c r="D585" s="142">
        <f t="shared" si="18"/>
        <v>4.4494691563246392E-3</v>
      </c>
      <c r="E585" s="50"/>
      <c r="I585" s="129">
        <v>45422</v>
      </c>
      <c r="J585" s="130">
        <v>1681.310547</v>
      </c>
      <c r="K585" s="131">
        <f t="shared" si="19"/>
        <v>7.8873745023987103E-3</v>
      </c>
      <c r="P585" s="86">
        <v>555</v>
      </c>
      <c r="Q585" s="86">
        <v>-5.0260864251791917E-4</v>
      </c>
      <c r="R585" s="86">
        <v>4.6473056549820287E-3</v>
      </c>
    </row>
    <row r="586" spans="2:18">
      <c r="B586" s="140">
        <v>45425</v>
      </c>
      <c r="C586" s="141">
        <v>22104.050781000002</v>
      </c>
      <c r="D586" s="142">
        <f t="shared" si="18"/>
        <v>2.2149680678431177E-3</v>
      </c>
      <c r="E586" s="50"/>
      <c r="I586" s="129">
        <v>45425</v>
      </c>
      <c r="J586" s="130">
        <v>1696.9101559999999</v>
      </c>
      <c r="K586" s="131">
        <f t="shared" si="19"/>
        <v>9.278243705682216E-3</v>
      </c>
      <c r="P586" s="86">
        <v>556</v>
      </c>
      <c r="Q586" s="86">
        <v>2.8501592346170234E-3</v>
      </c>
      <c r="R586" s="86">
        <v>-1.0460372093464461E-2</v>
      </c>
    </row>
    <row r="587" spans="2:18">
      <c r="B587" s="140">
        <v>45426</v>
      </c>
      <c r="C587" s="141">
        <v>22217.849609000001</v>
      </c>
      <c r="D587" s="142">
        <f t="shared" si="18"/>
        <v>5.1483245821085976E-3</v>
      </c>
      <c r="E587" s="50"/>
      <c r="I587" s="129">
        <v>45426</v>
      </c>
      <c r="J587" s="130">
        <v>1723.524048</v>
      </c>
      <c r="K587" s="131">
        <f t="shared" si="19"/>
        <v>1.5683736646809297E-2</v>
      </c>
      <c r="P587" s="86">
        <v>557</v>
      </c>
      <c r="Q587" s="86">
        <v>9.8606164249194416E-5</v>
      </c>
      <c r="R587" s="86">
        <v>7.2774817732115318E-3</v>
      </c>
    </row>
    <row r="588" spans="2:18">
      <c r="B588" s="140">
        <v>45427</v>
      </c>
      <c r="C588" s="141">
        <v>22200.550781000002</v>
      </c>
      <c r="D588" s="142">
        <f t="shared" si="18"/>
        <v>-7.7860046334059458E-4</v>
      </c>
      <c r="E588" s="50"/>
      <c r="I588" s="129">
        <v>45427</v>
      </c>
      <c r="J588" s="130">
        <v>1748.4932859999999</v>
      </c>
      <c r="K588" s="131">
        <f t="shared" si="19"/>
        <v>1.4487316280254132E-2</v>
      </c>
      <c r="P588" s="86">
        <v>558</v>
      </c>
      <c r="Q588" s="86">
        <v>5.2997967939017844E-3</v>
      </c>
      <c r="R588" s="86">
        <v>-1.8169905270602502E-2</v>
      </c>
    </row>
    <row r="589" spans="2:18">
      <c r="B589" s="140">
        <v>45428</v>
      </c>
      <c r="C589" s="141">
        <v>22403.849609000001</v>
      </c>
      <c r="D589" s="142">
        <f t="shared" si="18"/>
        <v>9.1573776707373055E-3</v>
      </c>
      <c r="E589" s="50"/>
      <c r="I589" s="129">
        <v>45428</v>
      </c>
      <c r="J589" s="130">
        <v>1771.9672849999999</v>
      </c>
      <c r="K589" s="131">
        <f t="shared" si="19"/>
        <v>1.3425272597815426E-2</v>
      </c>
      <c r="P589" s="86">
        <v>559</v>
      </c>
      <c r="Q589" s="86">
        <v>-6.6152639256731715E-4</v>
      </c>
      <c r="R589" s="86">
        <v>-1.0742631336805322E-2</v>
      </c>
    </row>
    <row r="590" spans="2:18">
      <c r="B590" s="140">
        <v>45429</v>
      </c>
      <c r="C590" s="141">
        <v>22466.099609000001</v>
      </c>
      <c r="D590" s="142">
        <f t="shared" si="18"/>
        <v>2.7785403440216423E-3</v>
      </c>
      <c r="E590" s="50"/>
      <c r="I590" s="129">
        <v>45429</v>
      </c>
      <c r="J590" s="130">
        <v>1807.8013920000001</v>
      </c>
      <c r="K590" s="131">
        <f t="shared" si="19"/>
        <v>2.0222781370368322E-2</v>
      </c>
      <c r="P590" s="86">
        <v>560</v>
      </c>
      <c r="Q590" s="86">
        <v>3.8709354875330376E-3</v>
      </c>
      <c r="R590" s="86">
        <v>-1.1407077472833614E-2</v>
      </c>
    </row>
    <row r="591" spans="2:18">
      <c r="B591" s="140">
        <v>45433</v>
      </c>
      <c r="C591" s="141">
        <v>22529.050781000002</v>
      </c>
      <c r="D591" s="142">
        <f t="shared" si="18"/>
        <v>2.8020516732144497E-3</v>
      </c>
      <c r="E591" s="50"/>
      <c r="I591" s="129">
        <v>45433</v>
      </c>
      <c r="J591" s="130">
        <v>1860.8298339999999</v>
      </c>
      <c r="K591" s="131">
        <f t="shared" si="19"/>
        <v>2.9333112716178177E-2</v>
      </c>
      <c r="P591" s="86">
        <v>561</v>
      </c>
      <c r="Q591" s="86">
        <v>-7.7250880417795223E-3</v>
      </c>
      <c r="R591" s="86">
        <v>1.3953007670092395E-2</v>
      </c>
    </row>
    <row r="592" spans="2:18">
      <c r="B592" s="140">
        <v>45434</v>
      </c>
      <c r="C592" s="141">
        <v>22597.800781000002</v>
      </c>
      <c r="D592" s="142">
        <f t="shared" si="18"/>
        <v>3.0516154749840011E-3</v>
      </c>
      <c r="E592" s="50"/>
      <c r="I592" s="129">
        <v>45434</v>
      </c>
      <c r="J592" s="130">
        <v>1837.006836</v>
      </c>
      <c r="K592" s="131">
        <f t="shared" si="19"/>
        <v>-1.2802351706061411E-2</v>
      </c>
      <c r="P592" s="86">
        <v>562</v>
      </c>
      <c r="Q592" s="86">
        <v>-8.2301560300217305E-3</v>
      </c>
      <c r="R592" s="86">
        <v>2.2393995226974413E-3</v>
      </c>
    </row>
    <row r="593" spans="2:18">
      <c r="B593" s="140">
        <v>45435</v>
      </c>
      <c r="C593" s="141">
        <v>22967.650390999999</v>
      </c>
      <c r="D593" s="142">
        <f t="shared" si="18"/>
        <v>1.6366619636321567E-2</v>
      </c>
      <c r="E593" s="50"/>
      <c r="I593" s="129">
        <v>45435</v>
      </c>
      <c r="J593" s="130">
        <v>1848.1707759999999</v>
      </c>
      <c r="K593" s="131">
        <f t="shared" si="19"/>
        <v>6.0772446684569173E-3</v>
      </c>
      <c r="P593" s="86">
        <v>563</v>
      </c>
      <c r="Q593" s="86">
        <v>-4.1353639152726628E-3</v>
      </c>
      <c r="R593" s="86">
        <v>-8.9174268808112425E-3</v>
      </c>
    </row>
    <row r="594" spans="2:18">
      <c r="B594" s="140">
        <v>45436</v>
      </c>
      <c r="C594" s="141">
        <v>22957.099609000001</v>
      </c>
      <c r="D594" s="142">
        <f t="shared" si="18"/>
        <v>-4.5937576636628086E-4</v>
      </c>
      <c r="E594" s="50"/>
      <c r="I594" s="129">
        <v>45436</v>
      </c>
      <c r="J594" s="130">
        <v>1883.755615</v>
      </c>
      <c r="K594" s="131">
        <f t="shared" si="19"/>
        <v>1.925408596548445E-2</v>
      </c>
      <c r="P594" s="86">
        <v>564</v>
      </c>
      <c r="Q594" s="86">
        <v>-5.1045577081874315E-3</v>
      </c>
      <c r="R594" s="86">
        <v>1.2999269048991811E-2</v>
      </c>
    </row>
    <row r="595" spans="2:18">
      <c r="B595" s="140">
        <v>45439</v>
      </c>
      <c r="C595" s="141">
        <v>22932.449218999998</v>
      </c>
      <c r="D595" s="142">
        <f t="shared" si="18"/>
        <v>-1.0737588989829833E-3</v>
      </c>
      <c r="E595" s="50"/>
      <c r="I595" s="129">
        <v>45439</v>
      </c>
      <c r="J595" s="130">
        <v>1881.2138669999999</v>
      </c>
      <c r="K595" s="131">
        <f t="shared" si="19"/>
        <v>-1.3492981678518302E-3</v>
      </c>
      <c r="P595" s="86">
        <v>565</v>
      </c>
      <c r="Q595" s="86">
        <v>5.3711784277709271E-3</v>
      </c>
      <c r="R595" s="86">
        <v>-1.532259845720297E-5</v>
      </c>
    </row>
    <row r="596" spans="2:18">
      <c r="B596" s="140">
        <v>45440</v>
      </c>
      <c r="C596" s="141">
        <v>22888.150390999999</v>
      </c>
      <c r="D596" s="142">
        <f t="shared" si="18"/>
        <v>-1.9317094121502109E-3</v>
      </c>
      <c r="E596" s="50"/>
      <c r="I596" s="129">
        <v>45440</v>
      </c>
      <c r="J596" s="130">
        <v>1879.668823</v>
      </c>
      <c r="K596" s="131">
        <f t="shared" si="19"/>
        <v>-8.2130162184263856E-4</v>
      </c>
      <c r="P596" s="86">
        <v>566</v>
      </c>
      <c r="Q596" s="86">
        <v>6.6524832844139367E-3</v>
      </c>
      <c r="R596" s="86">
        <v>2.6010514050068261E-2</v>
      </c>
    </row>
    <row r="597" spans="2:18">
      <c r="B597" s="140">
        <v>45441</v>
      </c>
      <c r="C597" s="141">
        <v>22704.699218999998</v>
      </c>
      <c r="D597" s="142">
        <f t="shared" si="18"/>
        <v>-8.0151156325911337E-3</v>
      </c>
      <c r="E597" s="50"/>
      <c r="I597" s="129">
        <v>45441</v>
      </c>
      <c r="J597" s="130">
        <v>1887.443726</v>
      </c>
      <c r="K597" s="131">
        <f t="shared" si="19"/>
        <v>4.136315347078561E-3</v>
      </c>
      <c r="P597" s="86">
        <v>567</v>
      </c>
      <c r="Q597" s="86">
        <v>1.2096723607112345E-3</v>
      </c>
      <c r="R597" s="86">
        <v>-3.0152796982423962E-3</v>
      </c>
    </row>
    <row r="598" spans="2:18">
      <c r="B598" s="140">
        <v>45442</v>
      </c>
      <c r="C598" s="141">
        <v>22488.650390999999</v>
      </c>
      <c r="D598" s="142">
        <f t="shared" si="18"/>
        <v>-9.5155996525689568E-3</v>
      </c>
      <c r="E598" s="50"/>
      <c r="I598" s="129">
        <v>45442</v>
      </c>
      <c r="J598" s="130">
        <v>1854.599976</v>
      </c>
      <c r="K598" s="131">
        <f t="shared" si="19"/>
        <v>-1.7401181051158926E-2</v>
      </c>
      <c r="P598" s="86">
        <v>568</v>
      </c>
      <c r="Q598" s="86">
        <v>1.3036352752552999E-3</v>
      </c>
      <c r="R598" s="86">
        <v>1.1713622036840357E-2</v>
      </c>
    </row>
    <row r="599" spans="2:18">
      <c r="B599" s="140">
        <v>45443</v>
      </c>
      <c r="C599" s="141">
        <v>22530.699218999998</v>
      </c>
      <c r="D599" s="142">
        <f t="shared" si="18"/>
        <v>1.8697799676243385E-3</v>
      </c>
      <c r="E599" s="50"/>
      <c r="I599" s="129">
        <v>45443</v>
      </c>
      <c r="J599" s="130">
        <v>1907.3000489999999</v>
      </c>
      <c r="K599" s="131">
        <f t="shared" si="19"/>
        <v>2.8415870636245483E-2</v>
      </c>
      <c r="P599" s="86">
        <v>569</v>
      </c>
      <c r="Q599" s="86">
        <v>5.8479210450228039E-3</v>
      </c>
      <c r="R599" s="86">
        <v>-1.063078945059379E-2</v>
      </c>
    </row>
    <row r="600" spans="2:18">
      <c r="B600" s="140">
        <v>45446</v>
      </c>
      <c r="C600" s="141">
        <v>23263.900390999999</v>
      </c>
      <c r="D600" s="142">
        <f t="shared" si="18"/>
        <v>3.2542317700539759E-2</v>
      </c>
      <c r="E600" s="50"/>
      <c r="I600" s="129">
        <v>45446</v>
      </c>
      <c r="J600" s="130">
        <v>1879.3000489999999</v>
      </c>
      <c r="K600" s="131">
        <f t="shared" si="19"/>
        <v>-1.4680437938792293E-2</v>
      </c>
      <c r="P600" s="86">
        <v>570</v>
      </c>
      <c r="Q600" s="86">
        <v>-4.9508047435336692E-3</v>
      </c>
      <c r="R600" s="86">
        <v>5.5860747871339662E-2</v>
      </c>
    </row>
    <row r="601" spans="2:18">
      <c r="B601" s="140">
        <v>45447</v>
      </c>
      <c r="C601" s="141">
        <v>21884.5</v>
      </c>
      <c r="D601" s="142">
        <f t="shared" si="18"/>
        <v>-5.929359943157432E-2</v>
      </c>
      <c r="E601" s="50"/>
      <c r="I601" s="129">
        <v>45447</v>
      </c>
      <c r="J601" s="130">
        <v>1773</v>
      </c>
      <c r="K601" s="131">
        <f t="shared" si="19"/>
        <v>-5.6563638710361117E-2</v>
      </c>
      <c r="P601" s="86">
        <v>571</v>
      </c>
      <c r="Q601" s="86">
        <v>7.7312889374943159E-3</v>
      </c>
      <c r="R601" s="86">
        <v>-5.0484855289501702E-3</v>
      </c>
    </row>
    <row r="602" spans="2:18">
      <c r="B602" s="140">
        <v>45448</v>
      </c>
      <c r="C602" s="141">
        <v>22620.349609000001</v>
      </c>
      <c r="D602" s="142">
        <f t="shared" si="18"/>
        <v>3.3624236742900264E-2</v>
      </c>
      <c r="E602" s="50"/>
      <c r="I602" s="129">
        <v>45448</v>
      </c>
      <c r="J602" s="130">
        <v>1792.8000489999999</v>
      </c>
      <c r="K602" s="131">
        <f t="shared" si="19"/>
        <v>1.1167540327129128E-2</v>
      </c>
      <c r="P602" s="86">
        <v>572</v>
      </c>
      <c r="Q602" s="86">
        <v>-1.167502715341526E-3</v>
      </c>
      <c r="R602" s="86">
        <v>1.3055965629887024E-2</v>
      </c>
    </row>
    <row r="603" spans="2:18">
      <c r="B603" s="140">
        <v>45449</v>
      </c>
      <c r="C603" s="141">
        <v>22821.400390999999</v>
      </c>
      <c r="D603" s="142">
        <f t="shared" si="18"/>
        <v>8.8880492775410495E-3</v>
      </c>
      <c r="E603" s="50"/>
      <c r="I603" s="129">
        <v>45449</v>
      </c>
      <c r="J603" s="130">
        <v>1839.6999510000001</v>
      </c>
      <c r="K603" s="131">
        <f t="shared" si="19"/>
        <v>2.6160140962825304E-2</v>
      </c>
      <c r="P603" s="86">
        <v>573</v>
      </c>
      <c r="Q603" s="86">
        <v>1.5932555121719004E-3</v>
      </c>
      <c r="R603" s="86">
        <v>6.0030026639439071E-4</v>
      </c>
    </row>
    <row r="604" spans="2:18">
      <c r="B604" s="140">
        <v>45450</v>
      </c>
      <c r="C604" s="141">
        <v>23290.150390999999</v>
      </c>
      <c r="D604" s="142">
        <f t="shared" si="18"/>
        <v>2.0539931466469489E-2</v>
      </c>
      <c r="E604" s="50"/>
      <c r="I604" s="129">
        <v>45450</v>
      </c>
      <c r="J604" s="130">
        <v>1855.349976</v>
      </c>
      <c r="K604" s="131">
        <f t="shared" si="19"/>
        <v>8.506835580167885E-3</v>
      </c>
      <c r="P604" s="86">
        <v>574</v>
      </c>
      <c r="Q604" s="86">
        <v>-5.6723938904756138E-3</v>
      </c>
      <c r="R604" s="86">
        <v>3.2138362858880015E-3</v>
      </c>
    </row>
    <row r="605" spans="2:18">
      <c r="B605" s="140">
        <v>45453</v>
      </c>
      <c r="C605" s="141">
        <v>23259.199218999998</v>
      </c>
      <c r="D605" s="142">
        <f t="shared" si="18"/>
        <v>-1.3289382627585521E-3</v>
      </c>
      <c r="E605" s="50"/>
      <c r="I605" s="129">
        <v>45453</v>
      </c>
      <c r="J605" s="130">
        <v>1856.849976</v>
      </c>
      <c r="K605" s="131">
        <f t="shared" si="19"/>
        <v>8.0847280534850421E-4</v>
      </c>
      <c r="P605" s="86">
        <v>575</v>
      </c>
      <c r="Q605" s="86">
        <v>-9.9394933395608636E-4</v>
      </c>
      <c r="R605" s="86">
        <v>7.9969683117643107E-3</v>
      </c>
    </row>
    <row r="606" spans="2:18">
      <c r="B606" s="140">
        <v>45454</v>
      </c>
      <c r="C606" s="141">
        <v>23264.849609000001</v>
      </c>
      <c r="D606" s="142">
        <f t="shared" si="18"/>
        <v>2.4293140734556418E-4</v>
      </c>
      <c r="E606" s="50"/>
      <c r="I606" s="129">
        <v>45454</v>
      </c>
      <c r="J606" s="130">
        <v>1832.849976</v>
      </c>
      <c r="K606" s="131">
        <f t="shared" si="19"/>
        <v>-1.292511528136509E-2</v>
      </c>
      <c r="P606" s="86">
        <v>576</v>
      </c>
      <c r="Q606" s="86">
        <v>-4.6330774251117481E-3</v>
      </c>
      <c r="R606" s="86">
        <v>3.2899955888805749E-3</v>
      </c>
    </row>
    <row r="607" spans="2:18">
      <c r="B607" s="140">
        <v>45455</v>
      </c>
      <c r="C607" s="141">
        <v>23322.949218999998</v>
      </c>
      <c r="D607" s="142">
        <f t="shared" si="18"/>
        <v>2.4973129410439717E-3</v>
      </c>
      <c r="E607" s="50"/>
      <c r="I607" s="129">
        <v>45455</v>
      </c>
      <c r="J607" s="130">
        <v>1830.25</v>
      </c>
      <c r="K607" s="131">
        <f t="shared" si="19"/>
        <v>-1.4185427252884826E-3</v>
      </c>
      <c r="P607" s="86">
        <v>577</v>
      </c>
      <c r="Q607" s="86">
        <v>1.3082323427337681E-4</v>
      </c>
      <c r="R607" s="86">
        <v>1.0748192098074368E-2</v>
      </c>
    </row>
    <row r="608" spans="2:18">
      <c r="B608" s="140">
        <v>45456</v>
      </c>
      <c r="C608" s="141">
        <v>23398.900390999999</v>
      </c>
      <c r="D608" s="142">
        <f t="shared" si="18"/>
        <v>3.2564994798396879E-3</v>
      </c>
      <c r="E608" s="50"/>
      <c r="I608" s="129">
        <v>45456</v>
      </c>
      <c r="J608" s="130">
        <v>1838.5</v>
      </c>
      <c r="K608" s="131">
        <f t="shared" si="19"/>
        <v>4.5075809315667263E-3</v>
      </c>
      <c r="P608" s="86">
        <v>578</v>
      </c>
      <c r="Q608" s="86">
        <v>-1.1665800798829772E-2</v>
      </c>
      <c r="R608" s="86">
        <v>1.2586996829219415E-3</v>
      </c>
    </row>
    <row r="609" spans="2:18">
      <c r="B609" s="140">
        <v>45457</v>
      </c>
      <c r="C609" s="141">
        <v>23465.599609000001</v>
      </c>
      <c r="D609" s="142">
        <f t="shared" si="18"/>
        <v>2.850527883167378E-3</v>
      </c>
      <c r="E609" s="50"/>
      <c r="I609" s="129">
        <v>45457</v>
      </c>
      <c r="J609" s="130">
        <v>1839.5</v>
      </c>
      <c r="K609" s="131">
        <f t="shared" si="19"/>
        <v>5.4392167527875983E-4</v>
      </c>
      <c r="P609" s="86">
        <v>579</v>
      </c>
      <c r="Q609" s="86">
        <v>3.5239523979582604E-3</v>
      </c>
      <c r="R609" s="86">
        <v>4.3634221044404498E-3</v>
      </c>
    </row>
    <row r="610" spans="2:18">
      <c r="B610" s="140">
        <v>45461</v>
      </c>
      <c r="C610" s="141">
        <v>23557.900390999999</v>
      </c>
      <c r="D610" s="142">
        <f t="shared" si="18"/>
        <v>3.9334508189851399E-3</v>
      </c>
      <c r="E610" s="50"/>
      <c r="I610" s="129">
        <v>45461</v>
      </c>
      <c r="J610" s="130">
        <v>1828.1999510000001</v>
      </c>
      <c r="K610" s="131">
        <f t="shared" si="19"/>
        <v>-6.1430002718129628E-3</v>
      </c>
      <c r="P610" s="86">
        <v>580</v>
      </c>
      <c r="Q610" s="86">
        <v>1.8199399543985602E-3</v>
      </c>
      <c r="R610" s="86">
        <v>7.4583037512836563E-3</v>
      </c>
    </row>
    <row r="611" spans="2:18">
      <c r="B611" s="140">
        <v>45462</v>
      </c>
      <c r="C611" s="141">
        <v>23516</v>
      </c>
      <c r="D611" s="142">
        <f t="shared" si="18"/>
        <v>-1.7786131320941801E-3</v>
      </c>
      <c r="E611" s="50"/>
      <c r="I611" s="129">
        <v>45462</v>
      </c>
      <c r="J611" s="130">
        <v>1815.650024</v>
      </c>
      <c r="K611" s="131">
        <f t="shared" si="19"/>
        <v>-6.8646358912412119E-3</v>
      </c>
      <c r="P611" s="86">
        <v>581</v>
      </c>
      <c r="Q611" s="86">
        <v>4.0568938889800161E-3</v>
      </c>
      <c r="R611" s="86">
        <v>1.162684275782928E-2</v>
      </c>
    </row>
    <row r="612" spans="2:18">
      <c r="B612" s="140">
        <v>45463</v>
      </c>
      <c r="C612" s="141">
        <v>23567</v>
      </c>
      <c r="D612" s="142">
        <f t="shared" si="18"/>
        <v>2.1687361796223848E-3</v>
      </c>
      <c r="E612" s="50"/>
      <c r="I612" s="129">
        <v>45463</v>
      </c>
      <c r="J612" s="130">
        <v>1818.3000489999999</v>
      </c>
      <c r="K612" s="131">
        <f t="shared" si="19"/>
        <v>1.4595461487460725E-3</v>
      </c>
      <c r="P612" s="86">
        <v>582</v>
      </c>
      <c r="Q612" s="86">
        <v>-4.6293117691615846E-4</v>
      </c>
      <c r="R612" s="86">
        <v>1.4950247457170291E-2</v>
      </c>
    </row>
    <row r="613" spans="2:18">
      <c r="B613" s="140">
        <v>45464</v>
      </c>
      <c r="C613" s="141">
        <v>23501.099609000001</v>
      </c>
      <c r="D613" s="142">
        <f t="shared" si="18"/>
        <v>-2.7962995290023852E-3</v>
      </c>
      <c r="E613" s="50"/>
      <c r="I613" s="129">
        <v>45464</v>
      </c>
      <c r="J613" s="130">
        <v>1887.0500489999999</v>
      </c>
      <c r="K613" s="131">
        <f t="shared" si="19"/>
        <v>3.7810041328333044E-2</v>
      </c>
      <c r="P613" s="86">
        <v>583</v>
      </c>
      <c r="Q613" s="86">
        <v>7.1141653242591868E-3</v>
      </c>
      <c r="R613" s="86">
        <v>6.3111072735562391E-3</v>
      </c>
    </row>
    <row r="614" spans="2:18">
      <c r="B614" s="140">
        <v>45467</v>
      </c>
      <c r="C614" s="141">
        <v>23537.849609000001</v>
      </c>
      <c r="D614" s="142">
        <f t="shared" si="18"/>
        <v>1.5637566161340888E-3</v>
      </c>
      <c r="E614" s="50"/>
      <c r="I614" s="129">
        <v>45467</v>
      </c>
      <c r="J614" s="130">
        <v>1911.849976</v>
      </c>
      <c r="K614" s="131">
        <f t="shared" si="19"/>
        <v>1.314216706289385E-2</v>
      </c>
      <c r="P614" s="86">
        <v>584</v>
      </c>
      <c r="Q614" s="86">
        <v>2.2497156105411465E-3</v>
      </c>
      <c r="R614" s="86">
        <v>1.7973065759827177E-2</v>
      </c>
    </row>
    <row r="615" spans="2:18">
      <c r="B615" s="140">
        <v>45468</v>
      </c>
      <c r="C615" s="141">
        <v>23721.300781000002</v>
      </c>
      <c r="D615" s="142">
        <f t="shared" si="18"/>
        <v>7.7938798593502794E-3</v>
      </c>
      <c r="E615" s="50"/>
      <c r="I615" s="129">
        <v>45468</v>
      </c>
      <c r="J615" s="130">
        <v>1916.849976</v>
      </c>
      <c r="K615" s="131">
        <f t="shared" si="19"/>
        <v>2.6152679670300659E-3</v>
      </c>
      <c r="P615" s="86">
        <v>585</v>
      </c>
      <c r="Q615" s="86">
        <v>2.2676451598779958E-3</v>
      </c>
      <c r="R615" s="86">
        <v>2.7065467556300182E-2</v>
      </c>
    </row>
    <row r="616" spans="2:18">
      <c r="B616" s="140">
        <v>45469</v>
      </c>
      <c r="C616" s="141">
        <v>23868.800781000002</v>
      </c>
      <c r="D616" s="142">
        <f t="shared" si="18"/>
        <v>6.2180401219035491E-3</v>
      </c>
      <c r="E616" s="50"/>
      <c r="I616" s="129">
        <v>45469</v>
      </c>
      <c r="J616" s="130">
        <v>1918.3000489999999</v>
      </c>
      <c r="K616" s="131">
        <f t="shared" si="19"/>
        <v>7.5648747588787557E-4</v>
      </c>
      <c r="P616" s="86">
        <v>586</v>
      </c>
      <c r="Q616" s="86">
        <v>2.457960495086166E-3</v>
      </c>
      <c r="R616" s="86">
        <v>-1.5260312201147576E-2</v>
      </c>
    </row>
    <row r="617" spans="2:18">
      <c r="B617" s="140">
        <v>45470</v>
      </c>
      <c r="C617" s="141">
        <v>24044.5</v>
      </c>
      <c r="D617" s="142">
        <f t="shared" si="18"/>
        <v>7.3610409090957779E-3</v>
      </c>
      <c r="E617" s="50"/>
      <c r="I617" s="129">
        <v>45470</v>
      </c>
      <c r="J617" s="130">
        <v>1852.849976</v>
      </c>
      <c r="K617" s="131">
        <f t="shared" si="19"/>
        <v>-3.4118788160443808E-2</v>
      </c>
      <c r="P617" s="86">
        <v>587</v>
      </c>
      <c r="Q617" s="86">
        <v>1.261187489411065E-2</v>
      </c>
      <c r="R617" s="86">
        <v>-6.5346302256537332E-3</v>
      </c>
    </row>
    <row r="618" spans="2:18">
      <c r="B618" s="140">
        <v>45471</v>
      </c>
      <c r="C618" s="141">
        <v>24010.599609000001</v>
      </c>
      <c r="D618" s="142">
        <f t="shared" si="18"/>
        <v>-1.4099020981929015E-3</v>
      </c>
      <c r="E618" s="50"/>
      <c r="I618" s="129">
        <v>45471</v>
      </c>
      <c r="J618" s="130">
        <v>1822.400024</v>
      </c>
      <c r="K618" s="131">
        <f t="shared" si="19"/>
        <v>-1.6434116304298099E-2</v>
      </c>
      <c r="P618" s="86">
        <v>588</v>
      </c>
      <c r="Q618" s="86">
        <v>-2.1949300687460312E-4</v>
      </c>
      <c r="R618" s="86">
        <v>1.9473578972359053E-2</v>
      </c>
    </row>
    <row r="619" spans="2:18">
      <c r="B619" s="140">
        <v>45474</v>
      </c>
      <c r="C619" s="141">
        <v>24141.949218999998</v>
      </c>
      <c r="D619" s="142">
        <f t="shared" si="18"/>
        <v>5.4704843751908266E-3</v>
      </c>
      <c r="E619" s="50"/>
      <c r="I619" s="129">
        <v>45474</v>
      </c>
      <c r="J619" s="130">
        <v>1823.900024</v>
      </c>
      <c r="K619" s="131">
        <f t="shared" si="19"/>
        <v>8.2309041936228595E-4</v>
      </c>
      <c r="P619" s="86">
        <v>589</v>
      </c>
      <c r="Q619" s="86">
        <v>-6.8801661086330987E-4</v>
      </c>
      <c r="R619" s="86">
        <v>-6.612815569885203E-4</v>
      </c>
    </row>
    <row r="620" spans="2:18">
      <c r="B620" s="140">
        <v>45475</v>
      </c>
      <c r="C620" s="141">
        <v>24123.849609000001</v>
      </c>
      <c r="D620" s="142">
        <f t="shared" si="18"/>
        <v>-7.4971618222744319E-4</v>
      </c>
      <c r="E620" s="50"/>
      <c r="I620" s="129">
        <v>45475</v>
      </c>
      <c r="J620" s="130">
        <v>1814.6999510000001</v>
      </c>
      <c r="K620" s="131">
        <f t="shared" si="19"/>
        <v>-5.0441761494269136E-3</v>
      </c>
      <c r="P620" s="86">
        <v>590</v>
      </c>
      <c r="Q620" s="86">
        <v>-1.3422827277748371E-3</v>
      </c>
      <c r="R620" s="86">
        <v>5.2098110593219856E-4</v>
      </c>
    </row>
    <row r="621" spans="2:18">
      <c r="B621" s="140">
        <v>45476</v>
      </c>
      <c r="C621" s="141">
        <v>24286.5</v>
      </c>
      <c r="D621" s="142">
        <f t="shared" si="18"/>
        <v>6.7423066233723511E-3</v>
      </c>
      <c r="E621" s="50"/>
      <c r="I621" s="129">
        <v>45476</v>
      </c>
      <c r="J621" s="130">
        <v>1878.900024</v>
      </c>
      <c r="K621" s="131">
        <f t="shared" si="19"/>
        <v>3.537778957045884E-2</v>
      </c>
      <c r="P621" s="86">
        <v>591</v>
      </c>
      <c r="Q621" s="86">
        <v>-5.9814390711285465E-3</v>
      </c>
      <c r="R621" s="86">
        <v>1.0117754418207107E-2</v>
      </c>
    </row>
    <row r="622" spans="2:18">
      <c r="B622" s="140">
        <v>45477</v>
      </c>
      <c r="C622" s="141">
        <v>24302.150390999999</v>
      </c>
      <c r="D622" s="142">
        <f t="shared" si="18"/>
        <v>6.4440701624355994E-4</v>
      </c>
      <c r="E622" s="50"/>
      <c r="I622" s="129">
        <v>45477</v>
      </c>
      <c r="J622" s="130">
        <v>1882.599976</v>
      </c>
      <c r="K622" s="131">
        <f t="shared" si="19"/>
        <v>1.9692117476921909E-3</v>
      </c>
      <c r="P622" s="86">
        <v>592</v>
      </c>
      <c r="Q622" s="86">
        <v>-7.1256960395340626E-3</v>
      </c>
      <c r="R622" s="86">
        <v>-1.0275485011624863E-2</v>
      </c>
    </row>
    <row r="623" spans="2:18">
      <c r="B623" s="140">
        <v>45478</v>
      </c>
      <c r="C623" s="141">
        <v>24323.849609000001</v>
      </c>
      <c r="D623" s="142">
        <f t="shared" si="18"/>
        <v>8.9289291897549949E-4</v>
      </c>
      <c r="E623" s="50"/>
      <c r="I623" s="129">
        <v>45478</v>
      </c>
      <c r="J623" s="130">
        <v>1893.650024</v>
      </c>
      <c r="K623" s="131">
        <f t="shared" si="19"/>
        <v>5.8695676940771725E-3</v>
      </c>
      <c r="P623" s="86">
        <v>593</v>
      </c>
      <c r="Q623" s="86">
        <v>1.5567023031959584E-3</v>
      </c>
      <c r="R623" s="86">
        <v>2.6859168333049525E-2</v>
      </c>
    </row>
    <row r="624" spans="2:18">
      <c r="B624" s="140">
        <v>45481</v>
      </c>
      <c r="C624" s="141">
        <v>24320.550781000002</v>
      </c>
      <c r="D624" s="142">
        <f t="shared" si="18"/>
        <v>-1.3562113123649877E-4</v>
      </c>
      <c r="E624" s="50"/>
      <c r="I624" s="129">
        <v>45481</v>
      </c>
      <c r="J624" s="130">
        <v>1886.1999510000001</v>
      </c>
      <c r="K624" s="131">
        <f t="shared" si="19"/>
        <v>-3.9342396459632048E-3</v>
      </c>
      <c r="P624" s="86">
        <v>594</v>
      </c>
      <c r="Q624" s="86">
        <v>2.4947331308420785E-2</v>
      </c>
      <c r="R624" s="86">
        <v>-3.9627769247213077E-2</v>
      </c>
    </row>
    <row r="625" spans="2:18">
      <c r="B625" s="140">
        <v>45482</v>
      </c>
      <c r="C625" s="141">
        <v>24433.199218999998</v>
      </c>
      <c r="D625" s="142">
        <f t="shared" si="18"/>
        <v>4.6318210066196826E-3</v>
      </c>
      <c r="E625" s="50"/>
      <c r="I625" s="129">
        <v>45482</v>
      </c>
      <c r="J625" s="130">
        <v>1921.0500489999999</v>
      </c>
      <c r="K625" s="131">
        <f t="shared" si="19"/>
        <v>1.8476353994985279E-2</v>
      </c>
      <c r="P625" s="86">
        <v>595</v>
      </c>
      <c r="Q625" s="86">
        <v>-4.5085995757525726E-2</v>
      </c>
      <c r="R625" s="86">
        <v>-1.147764295283539E-2</v>
      </c>
    </row>
    <row r="626" spans="2:18">
      <c r="B626" s="140">
        <v>45483</v>
      </c>
      <c r="C626" s="141">
        <v>24324.449218999998</v>
      </c>
      <c r="D626" s="142">
        <f t="shared" si="18"/>
        <v>-4.4509111977212015E-3</v>
      </c>
      <c r="E626" s="50"/>
      <c r="I626" s="129">
        <v>45483</v>
      </c>
      <c r="J626" s="130">
        <v>1929.4499510000001</v>
      </c>
      <c r="K626" s="131">
        <f t="shared" si="19"/>
        <v>4.3725576043022246E-3</v>
      </c>
      <c r="P626" s="86">
        <v>596</v>
      </c>
      <c r="Q626" s="86">
        <v>2.5772394012847272E-2</v>
      </c>
      <c r="R626" s="86">
        <v>-1.4604853685718145E-2</v>
      </c>
    </row>
    <row r="627" spans="2:18">
      <c r="B627" s="140">
        <v>45484</v>
      </c>
      <c r="C627" s="141">
        <v>24315.949218999998</v>
      </c>
      <c r="D627" s="142">
        <f t="shared" si="18"/>
        <v>-3.4944265021057868E-4</v>
      </c>
      <c r="E627" s="50"/>
      <c r="I627" s="129">
        <v>45484</v>
      </c>
      <c r="J627" s="130">
        <v>1920</v>
      </c>
      <c r="K627" s="131">
        <f t="shared" si="19"/>
        <v>-4.8977435227601064E-3</v>
      </c>
      <c r="P627" s="86">
        <v>597</v>
      </c>
      <c r="Q627" s="86">
        <v>6.9087776716077231E-3</v>
      </c>
      <c r="R627" s="86">
        <v>1.9251363291217582E-2</v>
      </c>
    </row>
    <row r="628" spans="2:18">
      <c r="B628" s="140">
        <v>45485</v>
      </c>
      <c r="C628" s="141">
        <v>24502.150390999999</v>
      </c>
      <c r="D628" s="142">
        <f t="shared" si="18"/>
        <v>7.657573649418015E-3</v>
      </c>
      <c r="E628" s="50"/>
      <c r="I628" s="129">
        <v>45485</v>
      </c>
      <c r="J628" s="130">
        <v>1908.4499510000001</v>
      </c>
      <c r="K628" s="131">
        <f t="shared" si="19"/>
        <v>-6.0156505208333044E-3</v>
      </c>
      <c r="P628" s="86">
        <v>598</v>
      </c>
      <c r="Q628" s="86">
        <v>1.5794408716127976E-2</v>
      </c>
      <c r="R628" s="86">
        <v>-7.2875731359600907E-3</v>
      </c>
    </row>
    <row r="629" spans="2:18">
      <c r="B629" s="140">
        <v>45488</v>
      </c>
      <c r="C629" s="141">
        <v>24586.699218999998</v>
      </c>
      <c r="D629" s="142">
        <f t="shared" si="18"/>
        <v>3.4506697024868104E-3</v>
      </c>
      <c r="E629" s="50"/>
      <c r="I629" s="129">
        <v>45488</v>
      </c>
      <c r="J629" s="130">
        <v>1891.6999510000001</v>
      </c>
      <c r="K629" s="131">
        <f t="shared" si="19"/>
        <v>-8.7767562315287564E-3</v>
      </c>
      <c r="P629" s="86">
        <v>599</v>
      </c>
      <c r="Q629" s="86">
        <v>-8.8261432820374282E-4</v>
      </c>
      <c r="R629" s="86">
        <v>1.6910871335522469E-3</v>
      </c>
    </row>
    <row r="630" spans="2:18">
      <c r="B630" s="140">
        <v>45489</v>
      </c>
      <c r="C630" s="141">
        <v>24613</v>
      </c>
      <c r="D630" s="142">
        <f t="shared" si="18"/>
        <v>1.0697158152761367E-3</v>
      </c>
      <c r="E630" s="50"/>
      <c r="I630" s="129">
        <v>45489</v>
      </c>
      <c r="J630" s="130">
        <v>1875.400024</v>
      </c>
      <c r="K630" s="131">
        <f t="shared" si="19"/>
        <v>-8.6165498875143895E-3</v>
      </c>
      <c r="P630" s="86">
        <v>600</v>
      </c>
      <c r="Q630" s="86">
        <v>3.1608075917779354E-4</v>
      </c>
      <c r="R630" s="86">
        <v>-1.3241196040542884E-2</v>
      </c>
    </row>
    <row r="631" spans="2:18">
      <c r="B631" s="140">
        <v>45491</v>
      </c>
      <c r="C631" s="141">
        <v>24800.849609000001</v>
      </c>
      <c r="D631" s="142">
        <f t="shared" si="18"/>
        <v>7.6321297281924504E-3</v>
      </c>
      <c r="E631" s="50"/>
      <c r="I631" s="129">
        <v>45491</v>
      </c>
      <c r="J631" s="130">
        <v>1862.650024</v>
      </c>
      <c r="K631" s="131">
        <f t="shared" si="19"/>
        <v>-6.7985495557400079E-3</v>
      </c>
      <c r="P631" s="86">
        <v>601</v>
      </c>
      <c r="Q631" s="86">
        <v>2.0352538693434352E-3</v>
      </c>
      <c r="R631" s="86">
        <v>-3.4537965946319178E-3</v>
      </c>
    </row>
    <row r="632" spans="2:18">
      <c r="B632" s="140">
        <v>45492</v>
      </c>
      <c r="C632" s="141">
        <v>24530.900390999999</v>
      </c>
      <c r="D632" s="142">
        <f t="shared" si="18"/>
        <v>-1.0884676221012989E-2</v>
      </c>
      <c r="E632" s="50"/>
      <c r="I632" s="129">
        <v>45492</v>
      </c>
      <c r="J632" s="130">
        <v>1768.5</v>
      </c>
      <c r="K632" s="131">
        <f t="shared" si="19"/>
        <v>-5.0546276963943509E-2</v>
      </c>
      <c r="P632" s="86">
        <v>602</v>
      </c>
      <c r="Q632" s="86">
        <v>2.6142033788153869E-3</v>
      </c>
      <c r="R632" s="86">
        <v>1.8933775527513394E-3</v>
      </c>
    </row>
    <row r="633" spans="2:18">
      <c r="B633" s="140">
        <v>45495</v>
      </c>
      <c r="C633" s="141">
        <v>24509.25</v>
      </c>
      <c r="D633" s="142">
        <f t="shared" si="18"/>
        <v>-8.8257628765809205E-4</v>
      </c>
      <c r="E633" s="50"/>
      <c r="I633" s="129">
        <v>45495</v>
      </c>
      <c r="J633" s="130">
        <v>1768.6999510000001</v>
      </c>
      <c r="K633" s="131">
        <f t="shared" si="19"/>
        <v>1.1306248232968929E-4</v>
      </c>
      <c r="P633" s="86">
        <v>603</v>
      </c>
      <c r="Q633" s="86">
        <v>2.3046127252115784E-3</v>
      </c>
      <c r="R633" s="86">
        <v>-1.7606910499328187E-3</v>
      </c>
    </row>
    <row r="634" spans="2:18">
      <c r="B634" s="140">
        <v>45496</v>
      </c>
      <c r="C634" s="141">
        <v>24479.050781000002</v>
      </c>
      <c r="D634" s="142">
        <f t="shared" si="18"/>
        <v>-1.2321559819251208E-3</v>
      </c>
      <c r="E634" s="50"/>
      <c r="I634" s="129">
        <v>45496</v>
      </c>
      <c r="J634" s="130">
        <v>1762.150024</v>
      </c>
      <c r="K634" s="131">
        <f t="shared" si="19"/>
        <v>-3.7032437278560343E-3</v>
      </c>
      <c r="P634" s="86">
        <v>604</v>
      </c>
      <c r="Q634" s="86">
        <v>3.1304409906628482E-3</v>
      </c>
      <c r="R634" s="86">
        <v>-9.2734412624758105E-3</v>
      </c>
    </row>
    <row r="635" spans="2:18">
      <c r="B635" s="140">
        <v>45497</v>
      </c>
      <c r="C635" s="141">
        <v>24413.5</v>
      </c>
      <c r="D635" s="142">
        <f t="shared" si="18"/>
        <v>-2.677831815720589E-3</v>
      </c>
      <c r="E635" s="50"/>
      <c r="I635" s="129">
        <v>45497</v>
      </c>
      <c r="J635" s="130">
        <v>1791.75</v>
      </c>
      <c r="K635" s="131">
        <f t="shared" si="19"/>
        <v>1.6797648098548033E-2</v>
      </c>
      <c r="P635" s="86">
        <v>605</v>
      </c>
      <c r="Q635" s="86">
        <v>-1.225532743797224E-3</v>
      </c>
      <c r="R635" s="86">
        <v>-5.6391031474439879E-3</v>
      </c>
    </row>
    <row r="636" spans="2:18">
      <c r="B636" s="140">
        <v>45498</v>
      </c>
      <c r="C636" s="141">
        <v>24406.099609000001</v>
      </c>
      <c r="D636" s="142">
        <f t="shared" si="18"/>
        <v>-3.0312699940603425E-4</v>
      </c>
      <c r="E636" s="50"/>
      <c r="I636" s="129">
        <v>45498</v>
      </c>
      <c r="J636" s="130">
        <v>1826.8000489999999</v>
      </c>
      <c r="K636" s="131">
        <f t="shared" si="19"/>
        <v>1.9561908190316699E-2</v>
      </c>
      <c r="P636" s="86">
        <v>606</v>
      </c>
      <c r="Q636" s="86">
        <v>1.7846838906519428E-3</v>
      </c>
      <c r="R636" s="86">
        <v>-3.2513774190587037E-4</v>
      </c>
    </row>
    <row r="637" spans="2:18">
      <c r="B637" s="143">
        <v>45499</v>
      </c>
      <c r="C637" s="144">
        <v>24834.849609000001</v>
      </c>
      <c r="D637" s="145">
        <f t="shared" si="18"/>
        <v>1.7567329760544533E-2</v>
      </c>
      <c r="E637" s="50"/>
      <c r="I637" s="132">
        <v>45499</v>
      </c>
      <c r="J637" s="133">
        <v>1838.650024</v>
      </c>
      <c r="K637" s="134">
        <f t="shared" si="19"/>
        <v>6.4867389326417118E-3</v>
      </c>
      <c r="P637" s="86">
        <v>607</v>
      </c>
      <c r="Q637" s="86">
        <v>-2.0016121527141727E-3</v>
      </c>
      <c r="R637" s="86">
        <v>3.9811653481047218E-2</v>
      </c>
    </row>
    <row r="638" spans="2:18">
      <c r="B638" s="51"/>
      <c r="C638" s="47"/>
      <c r="D638" s="8"/>
      <c r="E638" s="50"/>
      <c r="I638" s="5"/>
      <c r="J638" s="47"/>
      <c r="K638" s="8"/>
      <c r="P638" s="86">
        <v>608</v>
      </c>
      <c r="Q638" s="86">
        <v>1.3233313723661154E-3</v>
      </c>
      <c r="R638" s="86">
        <v>1.1818835690527734E-2</v>
      </c>
    </row>
    <row r="639" spans="2:18">
      <c r="B639" s="51"/>
      <c r="C639" s="47"/>
      <c r="D639" s="8"/>
      <c r="E639" s="50"/>
      <c r="I639" s="5"/>
      <c r="J639" s="47"/>
      <c r="K639" s="8"/>
      <c r="P639" s="86">
        <v>609</v>
      </c>
      <c r="Q639" s="86">
        <v>6.0743729297301633E-3</v>
      </c>
      <c r="R639" s="86">
        <v>-3.4591049627000973E-3</v>
      </c>
    </row>
    <row r="640" spans="2:18">
      <c r="B640" s="51"/>
      <c r="C640" s="47"/>
      <c r="D640" s="8"/>
      <c r="E640" s="50"/>
      <c r="I640" s="5"/>
      <c r="J640" s="47"/>
      <c r="K640" s="8"/>
      <c r="P640" s="86">
        <v>610</v>
      </c>
      <c r="Q640" s="86">
        <v>4.8726503011277001E-3</v>
      </c>
      <c r="R640" s="86">
        <v>-4.1161628252398249E-3</v>
      </c>
    </row>
    <row r="641" spans="2:18">
      <c r="B641" s="51"/>
      <c r="C641" s="47"/>
      <c r="D641" s="8"/>
      <c r="E641" s="50"/>
      <c r="I641" s="5"/>
      <c r="J641" s="47"/>
      <c r="K641" s="8"/>
      <c r="P641" s="86">
        <v>611</v>
      </c>
      <c r="Q641" s="86">
        <v>5.7442934497545202E-3</v>
      </c>
      <c r="R641" s="86">
        <v>-3.9863081610198331E-2</v>
      </c>
    </row>
    <row r="642" spans="2:18">
      <c r="B642" s="51"/>
      <c r="C642" s="47"/>
      <c r="D642" s="8"/>
      <c r="E642" s="50"/>
      <c r="I642" s="5"/>
      <c r="J642" s="47"/>
      <c r="K642" s="8"/>
      <c r="P642" s="86">
        <v>612</v>
      </c>
      <c r="Q642" s="86">
        <v>-9.4435669376786329E-4</v>
      </c>
      <c r="R642" s="86">
        <v>-1.5489759610530236E-2</v>
      </c>
    </row>
    <row r="643" spans="2:18">
      <c r="B643" s="51"/>
      <c r="C643" s="47"/>
      <c r="D643" s="8"/>
      <c r="E643" s="50"/>
      <c r="I643" s="5"/>
      <c r="J643" s="47"/>
      <c r="K643" s="8"/>
      <c r="P643" s="86">
        <v>613</v>
      </c>
      <c r="Q643" s="86">
        <v>4.3025703395561899E-3</v>
      </c>
      <c r="R643" s="86">
        <v>-3.4794799201939039E-3</v>
      </c>
    </row>
    <row r="644" spans="2:18">
      <c r="B644" s="51"/>
      <c r="C644" s="47"/>
      <c r="D644" s="8"/>
      <c r="E644" s="50"/>
      <c r="I644" s="5"/>
      <c r="J644" s="47"/>
      <c r="K644" s="8"/>
      <c r="P644" s="86">
        <v>614</v>
      </c>
      <c r="Q644" s="86">
        <v>-4.4090425793464488E-4</v>
      </c>
      <c r="R644" s="86">
        <v>-4.6032718914922688E-3</v>
      </c>
    </row>
    <row r="645" spans="2:18">
      <c r="B645" s="51"/>
      <c r="C645" s="47"/>
      <c r="D645" s="8"/>
      <c r="E645" s="50"/>
      <c r="I645" s="5"/>
      <c r="J645" s="47"/>
      <c r="K645" s="8"/>
      <c r="P645" s="86">
        <v>615</v>
      </c>
      <c r="Q645" s="86">
        <v>5.2724516916257637E-3</v>
      </c>
      <c r="R645" s="86">
        <v>3.0105337878833075E-2</v>
      </c>
    </row>
    <row r="646" spans="2:18">
      <c r="B646" s="51"/>
      <c r="C646" s="47"/>
      <c r="D646" s="8"/>
      <c r="E646" s="50"/>
      <c r="I646" s="5"/>
      <c r="J646" s="47"/>
      <c r="K646" s="8"/>
      <c r="P646" s="86">
        <v>616</v>
      </c>
      <c r="Q646" s="86">
        <v>6.2224280889636976E-4</v>
      </c>
      <c r="R646" s="86">
        <v>1.3469689387958211E-3</v>
      </c>
    </row>
    <row r="647" spans="2:18">
      <c r="B647" s="51"/>
      <c r="C647" s="47"/>
      <c r="D647" s="8"/>
      <c r="E647" s="50"/>
      <c r="I647" s="5"/>
      <c r="J647" s="47"/>
      <c r="K647" s="8"/>
      <c r="P647" s="86">
        <v>617</v>
      </c>
      <c r="Q647" s="86">
        <v>8.117361470231961E-4</v>
      </c>
      <c r="R647" s="86">
        <v>5.0578315470539764E-3</v>
      </c>
    </row>
    <row r="648" spans="2:18">
      <c r="B648" s="51"/>
      <c r="C648" s="47"/>
      <c r="D648" s="8"/>
      <c r="E648" s="50"/>
      <c r="I648" s="5"/>
      <c r="J648" s="47"/>
      <c r="K648" s="8"/>
      <c r="P648" s="86">
        <v>618</v>
      </c>
      <c r="Q648" s="86">
        <v>2.7399657338051368E-5</v>
      </c>
      <c r="R648" s="86">
        <v>-3.9616393033012559E-3</v>
      </c>
    </row>
    <row r="649" spans="2:18">
      <c r="B649" s="51"/>
      <c r="C649" s="47"/>
      <c r="D649" s="8"/>
      <c r="E649" s="50"/>
      <c r="I649" s="5"/>
      <c r="J649" s="47"/>
      <c r="K649" s="8"/>
      <c r="P649" s="86">
        <v>619</v>
      </c>
      <c r="Q649" s="86">
        <v>3.6630124429994776E-3</v>
      </c>
      <c r="R649" s="86">
        <v>1.4813341551985802E-2</v>
      </c>
    </row>
    <row r="650" spans="2:18">
      <c r="B650" s="51"/>
      <c r="C650" s="47"/>
      <c r="D650" s="8"/>
      <c r="E650" s="50"/>
      <c r="I650" s="5"/>
      <c r="J650" s="47"/>
      <c r="K650" s="8"/>
      <c r="P650" s="86">
        <v>620</v>
      </c>
      <c r="Q650" s="86">
        <v>-3.2634056185083427E-3</v>
      </c>
      <c r="R650" s="86">
        <v>7.6359632228105677E-3</v>
      </c>
    </row>
    <row r="651" spans="2:18">
      <c r="B651" s="51"/>
      <c r="C651" s="47"/>
      <c r="D651" s="8"/>
      <c r="E651" s="50"/>
      <c r="I651" s="5"/>
      <c r="J651" s="47"/>
      <c r="K651" s="8"/>
      <c r="P651" s="86">
        <v>621</v>
      </c>
      <c r="Q651" s="86">
        <v>-1.3565890231575915E-4</v>
      </c>
      <c r="R651" s="86">
        <v>-4.7620846204443476E-3</v>
      </c>
    </row>
    <row r="652" spans="2:18">
      <c r="B652" s="51"/>
      <c r="C652" s="47"/>
      <c r="D652" s="8"/>
      <c r="E652" s="50"/>
      <c r="I652" s="5"/>
      <c r="J652" s="47"/>
      <c r="K652" s="8"/>
      <c r="P652" s="86">
        <v>622</v>
      </c>
      <c r="Q652" s="86">
        <v>5.9704269173266166E-3</v>
      </c>
      <c r="R652" s="86">
        <v>-1.1986077438159921E-2</v>
      </c>
    </row>
    <row r="653" spans="2:18">
      <c r="B653" s="51"/>
      <c r="C653" s="47"/>
      <c r="D653" s="8"/>
      <c r="E653" s="50"/>
      <c r="I653" s="5"/>
      <c r="J653" s="47"/>
      <c r="K653" s="8"/>
      <c r="P653" s="86">
        <v>623</v>
      </c>
      <c r="Q653" s="86">
        <v>2.7622760189519374E-3</v>
      </c>
      <c r="R653" s="86">
        <v>-1.1539032250480693E-2</v>
      </c>
    </row>
    <row r="654" spans="2:18">
      <c r="B654" s="51"/>
      <c r="C654" s="47"/>
      <c r="D654" s="8"/>
      <c r="E654" s="50"/>
      <c r="I654" s="5"/>
      <c r="J654" s="47"/>
      <c r="K654" s="8"/>
      <c r="P654" s="86">
        <v>624</v>
      </c>
      <c r="Q654" s="86">
        <v>9.4657985650078232E-4</v>
      </c>
      <c r="R654" s="86">
        <v>-9.5631297440151725E-3</v>
      </c>
    </row>
    <row r="655" spans="2:18">
      <c r="B655" s="51"/>
      <c r="C655" s="47"/>
      <c r="D655" s="8"/>
      <c r="E655" s="50"/>
      <c r="I655" s="5"/>
      <c r="J655" s="47"/>
      <c r="K655" s="8"/>
      <c r="P655" s="86">
        <v>625</v>
      </c>
      <c r="Q655" s="86">
        <v>5.9510235889483881E-3</v>
      </c>
      <c r="R655" s="86">
        <v>-1.2749573144688397E-2</v>
      </c>
    </row>
    <row r="656" spans="2:18">
      <c r="B656" s="51"/>
      <c r="C656" s="47"/>
      <c r="D656" s="8"/>
      <c r="E656" s="50"/>
      <c r="I656" s="5"/>
      <c r="J656" s="47"/>
      <c r="K656" s="8"/>
      <c r="P656" s="86">
        <v>626</v>
      </c>
      <c r="Q656" s="86">
        <v>-8.1697427490391387E-3</v>
      </c>
      <c r="R656" s="86">
        <v>-4.2376534214904372E-2</v>
      </c>
    </row>
    <row r="657" spans="2:18">
      <c r="B657" s="51"/>
      <c r="C657" s="47"/>
      <c r="D657" s="8"/>
      <c r="E657" s="50"/>
      <c r="I657" s="5"/>
      <c r="J657" s="47"/>
      <c r="K657" s="8"/>
      <c r="P657" s="86">
        <v>627</v>
      </c>
      <c r="Q657" s="86">
        <v>-5.4222229893874602E-4</v>
      </c>
      <c r="R657" s="86">
        <v>6.5528478126843526E-4</v>
      </c>
    </row>
    <row r="658" spans="2:18">
      <c r="B658" s="51"/>
      <c r="C658" s="47"/>
      <c r="D658" s="8"/>
      <c r="E658" s="50"/>
      <c r="I658" s="5"/>
      <c r="J658" s="47"/>
      <c r="K658" s="8"/>
      <c r="P658" s="86">
        <v>628</v>
      </c>
      <c r="Q658" s="86">
        <v>-8.088089442160678E-4</v>
      </c>
      <c r="R658" s="86">
        <v>-2.8944347836399667E-3</v>
      </c>
    </row>
    <row r="659" spans="2:18">
      <c r="B659" s="51"/>
      <c r="C659" s="47"/>
      <c r="D659" s="8"/>
      <c r="E659" s="50"/>
      <c r="I659" s="5"/>
      <c r="J659" s="47"/>
      <c r="K659" s="8"/>
      <c r="P659" s="86">
        <v>629</v>
      </c>
      <c r="Q659" s="86">
        <v>-1.9112696334677728E-3</v>
      </c>
      <c r="R659" s="86">
        <v>1.8708917732015804E-2</v>
      </c>
    </row>
    <row r="660" spans="2:18">
      <c r="B660" s="51"/>
      <c r="C660" s="47"/>
      <c r="D660" s="8"/>
      <c r="E660" s="50"/>
      <c r="I660" s="5"/>
      <c r="J660" s="47"/>
      <c r="K660" s="8"/>
      <c r="P660" s="86">
        <v>630</v>
      </c>
      <c r="Q660" s="86">
        <v>-1.0033896190071907E-4</v>
      </c>
      <c r="R660" s="86">
        <v>1.966224715221742E-2</v>
      </c>
    </row>
    <row r="661" spans="2:18" ht="16.5" thickBot="1">
      <c r="B661" s="51"/>
      <c r="C661" s="47"/>
      <c r="D661" s="8"/>
      <c r="E661" s="50"/>
      <c r="I661" s="5"/>
      <c r="J661" s="47"/>
      <c r="K661" s="8"/>
      <c r="P661" s="87">
        <v>631</v>
      </c>
      <c r="Q661" s="87">
        <v>1.3527526716045742E-2</v>
      </c>
      <c r="R661" s="87">
        <v>-7.0407877834040298E-3</v>
      </c>
    </row>
    <row r="662" spans="2:18">
      <c r="B662" s="51"/>
      <c r="C662" s="47"/>
      <c r="D662" s="8"/>
      <c r="E662" s="50"/>
      <c r="I662" s="5"/>
      <c r="J662" s="47"/>
      <c r="K662" s="8"/>
    </row>
    <row r="663" spans="2:18">
      <c r="B663" s="51"/>
      <c r="C663" s="47"/>
      <c r="D663" s="8"/>
      <c r="E663" s="50"/>
      <c r="I663" s="5"/>
      <c r="J663" s="47"/>
      <c r="K663" s="8"/>
    </row>
    <row r="664" spans="2:18">
      <c r="B664" s="51"/>
      <c r="C664" s="47"/>
      <c r="D664" s="8"/>
      <c r="E664" s="50"/>
      <c r="I664" s="5"/>
      <c r="J664" s="47"/>
      <c r="K664" s="8"/>
    </row>
    <row r="665" spans="2:18">
      <c r="B665" s="51"/>
      <c r="C665" s="47"/>
      <c r="D665" s="8"/>
      <c r="E665" s="50"/>
      <c r="I665" s="5"/>
      <c r="J665" s="47"/>
      <c r="K665" s="8"/>
    </row>
    <row r="666" spans="2:18">
      <c r="B666" s="51"/>
      <c r="C666" s="47"/>
      <c r="D666" s="8"/>
      <c r="E666" s="50"/>
      <c r="I666" s="5"/>
      <c r="J666" s="47"/>
      <c r="K666" s="8"/>
    </row>
    <row r="667" spans="2:18">
      <c r="B667" s="51"/>
      <c r="C667" s="47"/>
      <c r="D667" s="8"/>
      <c r="E667" s="50"/>
      <c r="I667" s="5"/>
      <c r="J667" s="47"/>
      <c r="K667" s="8"/>
    </row>
    <row r="668" spans="2:18">
      <c r="B668" s="51"/>
      <c r="C668" s="47"/>
      <c r="D668" s="8"/>
      <c r="E668" s="50"/>
      <c r="I668" s="5"/>
      <c r="J668" s="47"/>
      <c r="K668" s="8"/>
    </row>
    <row r="669" spans="2:18">
      <c r="B669" s="51"/>
      <c r="C669" s="47"/>
      <c r="D669" s="8"/>
      <c r="E669" s="50"/>
      <c r="I669" s="5"/>
      <c r="J669" s="47"/>
      <c r="K669" s="8"/>
    </row>
    <row r="670" spans="2:18">
      <c r="B670" s="51"/>
      <c r="C670" s="47"/>
      <c r="D670" s="8"/>
      <c r="E670" s="50"/>
      <c r="I670" s="5"/>
      <c r="J670" s="47"/>
      <c r="K670" s="8"/>
    </row>
    <row r="671" spans="2:18">
      <c r="B671" s="51"/>
      <c r="C671" s="47"/>
      <c r="D671" s="8"/>
      <c r="E671" s="50"/>
      <c r="I671" s="5"/>
      <c r="J671" s="47"/>
      <c r="K671" s="8"/>
    </row>
    <row r="672" spans="2:18">
      <c r="B672" s="51"/>
      <c r="C672" s="47"/>
      <c r="D672" s="8"/>
      <c r="E672" s="50"/>
      <c r="I672" s="5"/>
      <c r="J672" s="47"/>
      <c r="K672" s="8"/>
    </row>
    <row r="673" spans="2:11">
      <c r="B673" s="51"/>
      <c r="C673" s="47"/>
      <c r="D673" s="8"/>
      <c r="E673" s="50"/>
      <c r="I673" s="5"/>
      <c r="J673" s="47"/>
      <c r="K673" s="8"/>
    </row>
    <row r="674" spans="2:11">
      <c r="B674" s="51"/>
      <c r="C674" s="47"/>
      <c r="D674" s="8"/>
      <c r="E674" s="50"/>
      <c r="I674" s="5"/>
      <c r="J674" s="47"/>
      <c r="K674" s="8"/>
    </row>
    <row r="675" spans="2:11">
      <c r="B675" s="51"/>
      <c r="C675" s="47"/>
      <c r="D675" s="8"/>
      <c r="E675" s="50"/>
      <c r="I675" s="5"/>
      <c r="J675" s="47"/>
      <c r="K675" s="8"/>
    </row>
    <row r="676" spans="2:11">
      <c r="B676" s="51"/>
      <c r="C676" s="47"/>
      <c r="D676" s="8"/>
      <c r="E676" s="50"/>
      <c r="I676" s="5"/>
      <c r="J676" s="47"/>
      <c r="K676" s="8"/>
    </row>
    <row r="677" spans="2:11">
      <c r="B677" s="51"/>
      <c r="C677" s="47"/>
      <c r="D677" s="8"/>
      <c r="E677" s="50"/>
      <c r="I677" s="5"/>
      <c r="J677" s="47"/>
      <c r="K677" s="8"/>
    </row>
    <row r="678" spans="2:11">
      <c r="B678" s="51"/>
      <c r="C678" s="47"/>
      <c r="D678" s="8"/>
      <c r="E678" s="50"/>
      <c r="I678" s="5"/>
      <c r="J678" s="47"/>
      <c r="K678" s="8"/>
    </row>
    <row r="679" spans="2:11">
      <c r="B679" s="51"/>
      <c r="C679" s="47"/>
      <c r="D679" s="8"/>
      <c r="E679" s="50"/>
      <c r="I679" s="5"/>
      <c r="J679" s="47"/>
      <c r="K679" s="8"/>
    </row>
    <row r="680" spans="2:11">
      <c r="B680" s="51"/>
      <c r="C680" s="47"/>
      <c r="D680" s="8"/>
      <c r="E680" s="50"/>
      <c r="I680" s="5"/>
      <c r="J680" s="47"/>
      <c r="K680" s="8"/>
    </row>
    <row r="681" spans="2:11">
      <c r="B681" s="51"/>
      <c r="C681" s="47"/>
      <c r="D681" s="8"/>
      <c r="E681" s="50"/>
      <c r="I681" s="5"/>
      <c r="J681" s="47"/>
      <c r="K681" s="8"/>
    </row>
    <row r="682" spans="2:11">
      <c r="B682" s="51"/>
      <c r="C682" s="47"/>
      <c r="D682" s="8"/>
      <c r="E682" s="50"/>
      <c r="I682" s="5"/>
      <c r="J682" s="47"/>
      <c r="K682" s="8"/>
    </row>
    <row r="683" spans="2:11">
      <c r="B683" s="51"/>
      <c r="C683" s="47"/>
      <c r="D683" s="8"/>
      <c r="E683" s="50"/>
      <c r="I683" s="5"/>
      <c r="J683" s="47"/>
      <c r="K683" s="8"/>
    </row>
    <row r="684" spans="2:11">
      <c r="B684" s="51"/>
      <c r="C684" s="47"/>
      <c r="D684" s="8"/>
      <c r="E684" s="50"/>
      <c r="I684" s="5"/>
      <c r="J684" s="47"/>
      <c r="K684" s="8"/>
    </row>
    <row r="685" spans="2:11">
      <c r="B685" s="51"/>
      <c r="C685" s="47"/>
      <c r="D685" s="8"/>
      <c r="E685" s="50"/>
      <c r="I685" s="5"/>
      <c r="J685" s="47"/>
      <c r="K685" s="8"/>
    </row>
    <row r="686" spans="2:11">
      <c r="B686" s="51"/>
      <c r="C686" s="47"/>
      <c r="D686" s="8"/>
      <c r="E686" s="50"/>
      <c r="I686" s="5"/>
      <c r="J686" s="47"/>
      <c r="K686" s="8"/>
    </row>
    <row r="687" spans="2:11">
      <c r="B687" s="51"/>
      <c r="C687" s="47"/>
      <c r="D687" s="8"/>
      <c r="E687" s="50"/>
      <c r="I687" s="5"/>
      <c r="J687" s="47"/>
      <c r="K687" s="8"/>
    </row>
    <row r="688" spans="2:11">
      <c r="B688" s="51"/>
      <c r="C688" s="47"/>
      <c r="D688" s="8"/>
      <c r="E688" s="50"/>
      <c r="I688" s="5"/>
      <c r="J688" s="47"/>
      <c r="K688" s="8"/>
    </row>
    <row r="689" spans="2:11">
      <c r="B689" s="51"/>
      <c r="C689" s="47"/>
      <c r="D689" s="8"/>
      <c r="E689" s="50"/>
      <c r="I689" s="5"/>
      <c r="J689" s="47"/>
      <c r="K689" s="8"/>
    </row>
    <row r="690" spans="2:11">
      <c r="B690" s="51"/>
      <c r="C690" s="47"/>
      <c r="D690" s="8"/>
      <c r="E690" s="50"/>
      <c r="I690" s="5"/>
      <c r="J690" s="47"/>
      <c r="K690" s="8"/>
    </row>
    <row r="691" spans="2:11">
      <c r="B691" s="51"/>
      <c r="C691" s="47"/>
      <c r="D691" s="8"/>
      <c r="E691" s="50"/>
      <c r="I691" s="5"/>
      <c r="J691" s="47"/>
      <c r="K691" s="8"/>
    </row>
    <row r="692" spans="2:11">
      <c r="B692" s="51"/>
      <c r="C692" s="47"/>
      <c r="D692" s="8"/>
      <c r="E692" s="50"/>
      <c r="I692" s="5"/>
      <c r="J692" s="47"/>
      <c r="K692" s="8"/>
    </row>
    <row r="693" spans="2:11">
      <c r="B693" s="51"/>
      <c r="C693" s="47"/>
      <c r="D693" s="8"/>
      <c r="E693" s="50"/>
      <c r="I693" s="5"/>
      <c r="J693" s="47"/>
      <c r="K693" s="8"/>
    </row>
    <row r="694" spans="2:11">
      <c r="B694" s="51"/>
      <c r="C694" s="47"/>
      <c r="D694" s="8"/>
      <c r="E694" s="50"/>
      <c r="I694" s="5"/>
      <c r="J694" s="47"/>
      <c r="K694" s="8"/>
    </row>
    <row r="695" spans="2:11">
      <c r="B695" s="51"/>
      <c r="C695" s="47"/>
      <c r="D695" s="8"/>
      <c r="E695" s="50"/>
      <c r="I695" s="5"/>
      <c r="J695" s="47"/>
      <c r="K695" s="8"/>
    </row>
    <row r="696" spans="2:11">
      <c r="B696" s="51"/>
      <c r="C696" s="47"/>
      <c r="D696" s="8"/>
      <c r="E696" s="50"/>
      <c r="I696" s="5"/>
      <c r="J696" s="47"/>
      <c r="K696" s="8"/>
    </row>
    <row r="697" spans="2:11">
      <c r="B697" s="51"/>
      <c r="C697" s="47"/>
      <c r="D697" s="8"/>
      <c r="E697" s="50"/>
      <c r="I697" s="5"/>
      <c r="J697" s="47"/>
      <c r="K697" s="8"/>
    </row>
    <row r="698" spans="2:11">
      <c r="B698" s="51"/>
      <c r="C698" s="47"/>
      <c r="D698" s="8"/>
      <c r="E698" s="50"/>
      <c r="I698" s="5"/>
      <c r="J698" s="47"/>
      <c r="K698" s="8"/>
    </row>
    <row r="699" spans="2:11">
      <c r="B699" s="51"/>
      <c r="C699" s="47"/>
      <c r="D699" s="8"/>
      <c r="E699" s="50"/>
      <c r="I699" s="5"/>
      <c r="J699" s="47"/>
      <c r="K699" s="8"/>
    </row>
    <row r="700" spans="2:11">
      <c r="B700" s="51"/>
      <c r="C700" s="47"/>
      <c r="D700" s="8"/>
      <c r="E700" s="50"/>
      <c r="I700" s="5"/>
      <c r="J700" s="47"/>
      <c r="K700" s="8"/>
    </row>
    <row r="701" spans="2:11">
      <c r="B701" s="51"/>
      <c r="C701" s="47"/>
      <c r="D701" s="8"/>
      <c r="E701" s="50"/>
      <c r="I701" s="5"/>
      <c r="J701" s="47"/>
      <c r="K701" s="8"/>
    </row>
    <row r="702" spans="2:11">
      <c r="B702" s="51"/>
      <c r="C702" s="47"/>
      <c r="D702" s="8"/>
      <c r="E702" s="50"/>
      <c r="I702" s="5"/>
      <c r="J702" s="47"/>
      <c r="K702" s="8"/>
    </row>
    <row r="703" spans="2:11">
      <c r="B703" s="51"/>
      <c r="C703" s="47"/>
      <c r="D703" s="8"/>
      <c r="E703" s="50"/>
      <c r="I703" s="5"/>
      <c r="J703" s="47"/>
      <c r="K703" s="8"/>
    </row>
    <row r="704" spans="2:11">
      <c r="B704" s="51"/>
      <c r="C704" s="47"/>
      <c r="D704" s="8"/>
      <c r="E704" s="50"/>
      <c r="I704" s="5"/>
      <c r="J704" s="47"/>
      <c r="K704" s="8"/>
    </row>
    <row r="705" spans="2:11">
      <c r="B705" s="51"/>
      <c r="C705" s="47"/>
      <c r="D705" s="8"/>
      <c r="E705" s="50"/>
      <c r="I705" s="5"/>
      <c r="J705" s="47"/>
      <c r="K705" s="8"/>
    </row>
    <row r="706" spans="2:11">
      <c r="B706" s="51"/>
      <c r="C706" s="47"/>
      <c r="D706" s="8"/>
      <c r="E706" s="50"/>
      <c r="I706" s="5"/>
      <c r="J706" s="47"/>
      <c r="K706" s="8"/>
    </row>
    <row r="707" spans="2:11">
      <c r="B707" s="51"/>
      <c r="C707" s="47"/>
      <c r="D707" s="8"/>
      <c r="E707" s="50"/>
      <c r="I707" s="5"/>
      <c r="J707" s="47"/>
      <c r="K707" s="8"/>
    </row>
    <row r="708" spans="2:11">
      <c r="B708" s="51"/>
      <c r="C708" s="47"/>
      <c r="D708" s="8"/>
      <c r="E708" s="50"/>
      <c r="I708" s="5"/>
      <c r="J708" s="47"/>
      <c r="K708" s="8"/>
    </row>
    <row r="709" spans="2:11">
      <c r="B709" s="51"/>
      <c r="C709" s="47"/>
      <c r="D709" s="8"/>
      <c r="E709" s="50"/>
      <c r="I709" s="5"/>
      <c r="J709" s="47"/>
      <c r="K709" s="8"/>
    </row>
    <row r="710" spans="2:11">
      <c r="B710" s="51"/>
      <c r="C710" s="47"/>
      <c r="D710" s="8"/>
      <c r="E710" s="50"/>
      <c r="I710" s="5"/>
      <c r="J710" s="47"/>
      <c r="K710" s="8"/>
    </row>
    <row r="711" spans="2:11">
      <c r="B711" s="51"/>
      <c r="C711" s="47"/>
      <c r="D711" s="8"/>
      <c r="E711" s="50"/>
      <c r="I711" s="5"/>
      <c r="J711" s="47"/>
      <c r="K711" s="8"/>
    </row>
    <row r="712" spans="2:11">
      <c r="B712" s="51"/>
      <c r="C712" s="47"/>
      <c r="D712" s="8"/>
      <c r="E712" s="50"/>
      <c r="I712" s="5"/>
      <c r="J712" s="47"/>
      <c r="K712" s="8"/>
    </row>
    <row r="713" spans="2:11">
      <c r="B713" s="51"/>
      <c r="C713" s="47"/>
      <c r="D713" s="8"/>
      <c r="E713" s="50"/>
      <c r="I713" s="5"/>
      <c r="J713" s="47"/>
      <c r="K713" s="8"/>
    </row>
    <row r="714" spans="2:11">
      <c r="B714" s="51"/>
      <c r="C714" s="47"/>
      <c r="D714" s="8"/>
      <c r="E714" s="50"/>
      <c r="I714" s="5"/>
      <c r="J714" s="47"/>
      <c r="K714" s="8"/>
    </row>
    <row r="715" spans="2:11">
      <c r="B715" s="51"/>
      <c r="C715" s="47"/>
      <c r="D715" s="8"/>
      <c r="E715" s="50"/>
      <c r="I715" s="5"/>
      <c r="J715" s="47"/>
      <c r="K715" s="8"/>
    </row>
    <row r="716" spans="2:11">
      <c r="B716" s="51"/>
      <c r="C716" s="47"/>
      <c r="D716" s="8"/>
      <c r="E716" s="50"/>
      <c r="I716" s="5"/>
      <c r="J716" s="47"/>
      <c r="K716" s="8"/>
    </row>
    <row r="717" spans="2:11">
      <c r="B717" s="51"/>
      <c r="C717" s="47"/>
      <c r="D717" s="8"/>
      <c r="E717" s="50"/>
      <c r="I717" s="5"/>
      <c r="J717" s="47"/>
      <c r="K717" s="8"/>
    </row>
    <row r="718" spans="2:11">
      <c r="B718" s="51"/>
      <c r="C718" s="47"/>
      <c r="D718" s="8"/>
      <c r="E718" s="50"/>
      <c r="I718" s="5"/>
      <c r="J718" s="47"/>
      <c r="K718" s="8"/>
    </row>
    <row r="719" spans="2:11">
      <c r="B719" s="51"/>
      <c r="C719" s="47"/>
      <c r="D719" s="8"/>
      <c r="E719" s="50"/>
      <c r="I719" s="5"/>
      <c r="J719" s="47"/>
      <c r="K719" s="8"/>
    </row>
    <row r="720" spans="2:11">
      <c r="B720" s="51"/>
      <c r="C720" s="47"/>
      <c r="D720" s="8"/>
      <c r="E720" s="50"/>
      <c r="I720" s="5"/>
      <c r="J720" s="47"/>
      <c r="K720" s="8"/>
    </row>
    <row r="721" spans="2:11">
      <c r="B721" s="51"/>
      <c r="C721" s="47"/>
      <c r="D721" s="8"/>
      <c r="E721" s="50"/>
      <c r="I721" s="5"/>
      <c r="J721" s="47"/>
      <c r="K721" s="8"/>
    </row>
    <row r="722" spans="2:11">
      <c r="B722" s="51"/>
      <c r="C722" s="47"/>
      <c r="D722" s="8"/>
      <c r="E722" s="50"/>
      <c r="I722" s="5"/>
      <c r="J722" s="47"/>
      <c r="K722" s="8"/>
    </row>
    <row r="723" spans="2:11">
      <c r="B723" s="51"/>
      <c r="C723" s="47"/>
      <c r="D723" s="8"/>
      <c r="E723" s="50"/>
      <c r="I723" s="5"/>
      <c r="J723" s="47"/>
      <c r="K723" s="8"/>
    </row>
    <row r="724" spans="2:11">
      <c r="B724" s="51"/>
      <c r="C724" s="47"/>
      <c r="D724" s="8"/>
      <c r="E724" s="50"/>
      <c r="I724" s="5"/>
      <c r="J724" s="47"/>
      <c r="K724" s="8"/>
    </row>
    <row r="725" spans="2:11">
      <c r="B725" s="51"/>
      <c r="C725" s="47"/>
      <c r="D725" s="8"/>
      <c r="E725" s="50"/>
      <c r="I725" s="5"/>
      <c r="J725" s="47"/>
      <c r="K725" s="8"/>
    </row>
    <row r="726" spans="2:11">
      <c r="B726" s="51"/>
      <c r="C726" s="47"/>
      <c r="D726" s="8"/>
      <c r="E726" s="50"/>
      <c r="I726" s="5"/>
      <c r="J726" s="47"/>
      <c r="K726" s="8"/>
    </row>
    <row r="727" spans="2:11">
      <c r="B727" s="51"/>
      <c r="C727" s="47"/>
      <c r="D727" s="8"/>
      <c r="E727" s="50"/>
      <c r="I727" s="5"/>
      <c r="J727" s="47"/>
      <c r="K727" s="8"/>
    </row>
    <row r="728" spans="2:11">
      <c r="B728" s="51"/>
      <c r="C728" s="47"/>
      <c r="D728" s="8"/>
      <c r="E728" s="50"/>
      <c r="I728" s="5"/>
      <c r="J728" s="47"/>
      <c r="K728" s="8"/>
    </row>
    <row r="729" spans="2:11">
      <c r="B729" s="51"/>
      <c r="C729" s="47"/>
      <c r="D729" s="8"/>
      <c r="E729" s="50"/>
      <c r="I729" s="5"/>
      <c r="J729" s="47"/>
      <c r="K729" s="8"/>
    </row>
    <row r="730" spans="2:11">
      <c r="B730" s="51"/>
      <c r="C730" s="47"/>
      <c r="D730" s="8"/>
      <c r="E730" s="50"/>
      <c r="I730" s="5"/>
      <c r="J730" s="47"/>
      <c r="K730" s="8"/>
    </row>
    <row r="731" spans="2:11">
      <c r="B731" s="51"/>
      <c r="C731" s="47"/>
      <c r="D731" s="8"/>
      <c r="E731" s="50"/>
      <c r="I731" s="5"/>
      <c r="J731" s="47"/>
      <c r="K731" s="8"/>
    </row>
    <row r="732" spans="2:11">
      <c r="B732" s="51"/>
      <c r="C732" s="47"/>
      <c r="D732" s="8"/>
      <c r="E732" s="50"/>
      <c r="I732" s="5"/>
      <c r="J732" s="47"/>
      <c r="K732" s="8"/>
    </row>
    <row r="733" spans="2:11">
      <c r="B733" s="51"/>
      <c r="C733" s="47"/>
      <c r="D733" s="8"/>
      <c r="E733" s="50"/>
      <c r="I733" s="5"/>
      <c r="J733" s="47"/>
      <c r="K733" s="8"/>
    </row>
    <row r="734" spans="2:11">
      <c r="B734" s="51"/>
      <c r="C734" s="47"/>
      <c r="D734" s="8"/>
      <c r="E734" s="50"/>
      <c r="I734" s="5"/>
      <c r="J734" s="47"/>
      <c r="K734" s="8"/>
    </row>
    <row r="735" spans="2:11">
      <c r="B735" s="51"/>
      <c r="C735" s="47"/>
      <c r="D735" s="8"/>
      <c r="E735" s="50"/>
      <c r="I735" s="5"/>
      <c r="J735" s="47"/>
      <c r="K735" s="8"/>
    </row>
    <row r="736" spans="2:11">
      <c r="B736" s="51"/>
      <c r="C736" s="47"/>
      <c r="D736" s="8"/>
      <c r="E736" s="50"/>
      <c r="I736" s="5"/>
      <c r="J736" s="47"/>
      <c r="K736" s="8"/>
    </row>
    <row r="737" spans="2:11">
      <c r="B737" s="51"/>
      <c r="C737" s="47"/>
      <c r="D737" s="8"/>
      <c r="E737" s="50"/>
      <c r="I737" s="5"/>
      <c r="J737" s="47"/>
      <c r="K737" s="8"/>
    </row>
    <row r="738" spans="2:11">
      <c r="B738" s="51"/>
      <c r="C738" s="47"/>
      <c r="D738" s="8"/>
      <c r="E738" s="50"/>
      <c r="I738" s="5"/>
      <c r="J738" s="47"/>
      <c r="K738" s="8"/>
    </row>
    <row r="739" spans="2:11">
      <c r="B739" s="51"/>
      <c r="C739" s="47"/>
      <c r="D739" s="8"/>
      <c r="E739" s="50"/>
      <c r="I739" s="5"/>
      <c r="J739" s="47"/>
      <c r="K739" s="8"/>
    </row>
    <row r="740" spans="2:11">
      <c r="B740" s="51"/>
      <c r="C740" s="47"/>
      <c r="D740" s="8"/>
      <c r="E740" s="50"/>
      <c r="I740" s="5"/>
      <c r="J740" s="47"/>
      <c r="K740" s="8"/>
    </row>
    <row r="741" spans="2:11">
      <c r="B741" s="51"/>
      <c r="C741" s="47"/>
      <c r="D741" s="8"/>
      <c r="E741" s="50"/>
      <c r="I741" s="5"/>
      <c r="J741" s="47"/>
      <c r="K741" s="8"/>
    </row>
    <row r="742" spans="2:11">
      <c r="B742" s="51"/>
      <c r="C742" s="47"/>
      <c r="D742" s="8"/>
      <c r="E742" s="50"/>
      <c r="I742" s="5"/>
      <c r="J742" s="47"/>
      <c r="K742" s="8"/>
    </row>
    <row r="743" spans="2:11">
      <c r="B743" s="51"/>
      <c r="C743" s="47"/>
      <c r="D743" s="8"/>
      <c r="E743" s="50"/>
      <c r="I743" s="5"/>
      <c r="J743" s="47"/>
      <c r="K743" s="8"/>
    </row>
    <row r="744" spans="2:11">
      <c r="B744" s="51"/>
      <c r="C744" s="47"/>
      <c r="D744" s="8"/>
      <c r="E744" s="50"/>
      <c r="I744" s="5"/>
      <c r="J744" s="47"/>
      <c r="K744" s="8"/>
    </row>
    <row r="745" spans="2:11" ht="16.5" thickBot="1">
      <c r="B745" s="52"/>
      <c r="C745" s="53"/>
      <c r="D745" s="54"/>
      <c r="E745" s="50"/>
      <c r="I745" s="55"/>
      <c r="J745" s="53"/>
      <c r="K745" s="54"/>
    </row>
    <row r="746" spans="2:11">
      <c r="B746" s="5"/>
      <c r="C746" s="4"/>
      <c r="D746" s="8"/>
      <c r="E746" s="50"/>
      <c r="I746" s="5"/>
      <c r="J746" s="4"/>
      <c r="K746" s="8"/>
    </row>
    <row r="747" spans="2:11">
      <c r="B747" s="5"/>
      <c r="C747" s="4"/>
      <c r="D747" s="8"/>
      <c r="I747" s="5"/>
      <c r="J747" s="4"/>
      <c r="K747" s="8"/>
    </row>
    <row r="748" spans="2:11">
      <c r="B748" s="5"/>
      <c r="C748" s="4"/>
      <c r="D748" s="8"/>
      <c r="I748" s="5"/>
      <c r="J748" s="4"/>
      <c r="K748" s="8"/>
    </row>
    <row r="749" spans="2:11">
      <c r="B749" s="5"/>
      <c r="C749" s="4"/>
      <c r="D749" s="8"/>
      <c r="I749" s="5"/>
      <c r="J749" s="4"/>
      <c r="K749" s="8"/>
    </row>
    <row r="750" spans="2:11">
      <c r="B750" s="5"/>
      <c r="C750" s="4"/>
      <c r="D750" s="8"/>
      <c r="I750" s="5"/>
      <c r="J750" s="4"/>
      <c r="K750" s="8"/>
    </row>
    <row r="751" spans="2:11">
      <c r="B751" s="5"/>
      <c r="C751" s="4"/>
      <c r="D751" s="8"/>
      <c r="I751" s="5"/>
      <c r="J751" s="4"/>
      <c r="K751" s="8"/>
    </row>
    <row r="752" spans="2:11">
      <c r="B752" s="5"/>
      <c r="C752" s="4"/>
      <c r="D752" s="8"/>
      <c r="I752" s="5"/>
      <c r="J752" s="4"/>
      <c r="K752" s="8"/>
    </row>
    <row r="753" spans="2:11">
      <c r="B753" s="5"/>
      <c r="C753" s="4"/>
      <c r="D753" s="8"/>
      <c r="I753" s="5"/>
      <c r="J753" s="4"/>
      <c r="K753" s="8"/>
    </row>
    <row r="754" spans="2:11">
      <c r="B754" s="5"/>
      <c r="C754" s="4"/>
      <c r="D754" s="8"/>
      <c r="I754" s="5"/>
      <c r="J754" s="4"/>
      <c r="K754" s="8"/>
    </row>
    <row r="755" spans="2:11">
      <c r="B755" s="5"/>
      <c r="C755" s="4"/>
      <c r="D755" s="8"/>
      <c r="I755" s="5"/>
      <c r="J755" s="4"/>
      <c r="K755" s="8"/>
    </row>
    <row r="756" spans="2:11">
      <c r="B756" s="5"/>
      <c r="C756" s="4"/>
      <c r="D756" s="8"/>
      <c r="I756" s="5"/>
      <c r="J756" s="4"/>
      <c r="K756" s="8"/>
    </row>
    <row r="757" spans="2:11">
      <c r="B757" s="5"/>
      <c r="C757" s="4"/>
      <c r="D757" s="8"/>
      <c r="I757" s="5"/>
      <c r="J757" s="4"/>
      <c r="K757" s="8"/>
    </row>
    <row r="758" spans="2:11">
      <c r="B758" s="5"/>
      <c r="C758" s="4"/>
      <c r="D758" s="8"/>
      <c r="I758" s="5"/>
      <c r="J758" s="4"/>
      <c r="K758" s="8"/>
    </row>
    <row r="759" spans="2:11">
      <c r="B759" s="5"/>
      <c r="C759" s="4"/>
      <c r="D759" s="8"/>
      <c r="I759" s="5"/>
      <c r="J759" s="4"/>
      <c r="K759" s="8"/>
    </row>
    <row r="760" spans="2:11">
      <c r="B760" s="5"/>
      <c r="C760" s="4"/>
      <c r="D760" s="8"/>
      <c r="I760" s="5"/>
      <c r="J760" s="4"/>
      <c r="K760" s="8"/>
    </row>
    <row r="761" spans="2:11">
      <c r="B761" s="5"/>
      <c r="C761" s="4"/>
      <c r="D761" s="8"/>
      <c r="I761" s="5"/>
      <c r="J761" s="4"/>
      <c r="K761" s="8"/>
    </row>
    <row r="762" spans="2:11">
      <c r="B762" s="5"/>
      <c r="C762" s="4"/>
      <c r="D762" s="8"/>
      <c r="I762" s="5"/>
      <c r="J762" s="4"/>
      <c r="K762" s="8"/>
    </row>
    <row r="763" spans="2:11">
      <c r="B763" s="5"/>
      <c r="C763" s="4"/>
      <c r="D763" s="8"/>
      <c r="I763" s="5"/>
      <c r="J763" s="4"/>
      <c r="K763" s="8"/>
    </row>
    <row r="765" spans="2:11">
      <c r="J765" s="4"/>
    </row>
    <row r="766" spans="2:11">
      <c r="J766" s="4"/>
    </row>
  </sheetData>
  <mergeCells count="6">
    <mergeCell ref="R5:S5"/>
    <mergeCell ref="B1:D1"/>
    <mergeCell ref="B2:D2"/>
    <mergeCell ref="B4:D4"/>
    <mergeCell ref="I4:K4"/>
    <mergeCell ref="R4:S4"/>
  </mergeCells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0"/>
  <sheetViews>
    <sheetView showGridLines="0" zoomScale="85" zoomScaleNormal="85" workbookViewId="0">
      <selection activeCell="A7" sqref="A7"/>
    </sheetView>
  </sheetViews>
  <sheetFormatPr defaultColWidth="11.25" defaultRowHeight="15.75"/>
  <cols>
    <col min="1" max="1" width="2" customWidth="1"/>
    <col min="10" max="10" width="20.25" customWidth="1"/>
    <col min="11" max="11" width="19.25" customWidth="1"/>
    <col min="12" max="12" width="17.5" customWidth="1"/>
    <col min="15" max="15" width="13.5" bestFit="1" customWidth="1"/>
    <col min="18" max="18" width="11.75" bestFit="1" customWidth="1"/>
  </cols>
  <sheetData>
    <row r="1" spans="1:23" ht="16.149999999999999" customHeight="1">
      <c r="A1" t="s">
        <v>0</v>
      </c>
      <c r="B1" s="114" t="s">
        <v>133</v>
      </c>
      <c r="C1" s="114"/>
      <c r="D1" s="114"/>
      <c r="E1" s="114"/>
      <c r="F1" s="114"/>
      <c r="G1" s="114"/>
      <c r="H1" s="114"/>
      <c r="I1" s="114"/>
      <c r="J1" s="2"/>
      <c r="K1" s="2"/>
      <c r="L1" s="2"/>
      <c r="M1" s="2"/>
      <c r="N1" s="2"/>
      <c r="O1" s="2"/>
      <c r="P1" s="2"/>
      <c r="Q1" s="56"/>
      <c r="R1" s="115"/>
      <c r="S1" s="115"/>
      <c r="T1" s="115"/>
      <c r="U1" s="115"/>
      <c r="V1" s="115"/>
      <c r="W1" s="56"/>
    </row>
    <row r="2" spans="1:23" ht="16.149999999999999" customHeight="1">
      <c r="B2" s="114"/>
      <c r="C2" s="114"/>
      <c r="D2" s="114"/>
      <c r="E2" s="114"/>
      <c r="F2" s="114"/>
      <c r="G2" s="114"/>
      <c r="H2" s="114"/>
      <c r="I2" s="114"/>
      <c r="J2" s="2"/>
      <c r="K2" s="2"/>
      <c r="L2" s="2"/>
      <c r="M2" s="2"/>
      <c r="N2" s="2"/>
      <c r="O2" s="2"/>
      <c r="P2" s="2"/>
      <c r="Q2" s="56"/>
      <c r="R2" s="56"/>
      <c r="S2" s="57"/>
      <c r="T2" s="57"/>
      <c r="U2" s="57"/>
      <c r="V2" s="57"/>
      <c r="W2" s="56"/>
    </row>
    <row r="3" spans="1:23" ht="16.149999999999999" customHeight="1">
      <c r="B3" s="114"/>
      <c r="C3" s="114"/>
      <c r="D3" s="114"/>
      <c r="E3" s="114"/>
      <c r="F3" s="114"/>
      <c r="G3" s="114"/>
      <c r="H3" s="114"/>
      <c r="I3" s="114"/>
      <c r="J3" s="2"/>
      <c r="K3" s="2"/>
      <c r="L3" s="2"/>
      <c r="M3" s="2"/>
      <c r="N3" s="2"/>
      <c r="O3" s="2"/>
      <c r="P3" s="2"/>
      <c r="Q3" s="56"/>
      <c r="R3" s="56"/>
      <c r="S3" s="57"/>
      <c r="T3" s="56"/>
      <c r="U3" s="56"/>
      <c r="V3" s="56"/>
      <c r="W3" s="56"/>
    </row>
    <row r="4" spans="1:23">
      <c r="B4" s="114"/>
      <c r="C4" s="114"/>
      <c r="D4" s="114"/>
      <c r="E4" s="114"/>
      <c r="F4" s="114"/>
      <c r="G4" s="114"/>
      <c r="H4" s="114"/>
      <c r="I4" s="114"/>
      <c r="J4" s="2"/>
      <c r="K4" s="2"/>
      <c r="L4" s="2"/>
      <c r="M4" s="2"/>
      <c r="N4" s="2"/>
      <c r="O4" s="2"/>
      <c r="P4" s="2"/>
      <c r="Q4" s="56"/>
      <c r="R4" s="56"/>
      <c r="S4" s="57"/>
      <c r="T4" s="56"/>
      <c r="U4" s="56"/>
      <c r="V4" s="56"/>
      <c r="W4" s="56"/>
    </row>
    <row r="5" spans="1:2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56"/>
      <c r="R5" s="56"/>
      <c r="S5" s="57"/>
      <c r="T5" s="56"/>
      <c r="U5" s="56"/>
      <c r="V5" s="56"/>
      <c r="W5" s="56"/>
    </row>
    <row r="6" spans="1:2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56"/>
      <c r="R6" s="56"/>
      <c r="S6" s="58"/>
      <c r="T6" s="56"/>
      <c r="U6" s="56"/>
      <c r="V6" s="56"/>
      <c r="W6" s="56"/>
    </row>
    <row r="7" spans="1:23" ht="18.75">
      <c r="Q7" s="56"/>
      <c r="R7" s="59"/>
      <c r="S7" s="59"/>
      <c r="T7" s="59"/>
      <c r="U7" s="59"/>
      <c r="V7" s="59"/>
      <c r="W7" s="56"/>
    </row>
    <row r="8" spans="1:23">
      <c r="S8" s="24"/>
      <c r="T8" s="24"/>
      <c r="U8" s="24"/>
      <c r="V8" s="24"/>
    </row>
    <row r="9" spans="1:23" ht="17.25">
      <c r="B9" s="21" t="s">
        <v>40</v>
      </c>
      <c r="C9" s="21"/>
      <c r="D9" s="22"/>
      <c r="E9" s="22"/>
      <c r="F9" s="22"/>
      <c r="I9" s="21" t="s">
        <v>45</v>
      </c>
      <c r="J9" s="21"/>
      <c r="K9" s="26">
        <f>7.06%</f>
        <v>7.0599999999999996E-2</v>
      </c>
    </row>
    <row r="10" spans="1:23" ht="18.75">
      <c r="I10" t="s">
        <v>62</v>
      </c>
      <c r="K10">
        <v>457100</v>
      </c>
      <c r="N10" s="22" t="s">
        <v>75</v>
      </c>
      <c r="O10" s="49">
        <v>626683.03</v>
      </c>
    </row>
    <row r="11" spans="1:23" ht="18.75">
      <c r="B11" t="s">
        <v>41</v>
      </c>
      <c r="D11" s="9"/>
      <c r="F11" s="25">
        <f>K10/K11</f>
        <v>0.18854149480283783</v>
      </c>
      <c r="I11" t="s">
        <v>63</v>
      </c>
      <c r="K11">
        <v>2424400</v>
      </c>
      <c r="N11" s="27" t="s">
        <v>76</v>
      </c>
      <c r="O11" s="48">
        <f>'Beta 1'!J637</f>
        <v>1838.650024</v>
      </c>
    </row>
    <row r="12" spans="1:23" ht="18.75">
      <c r="B12" t="s">
        <v>44</v>
      </c>
      <c r="D12" s="9"/>
      <c r="F12" s="25">
        <v>0.3</v>
      </c>
      <c r="N12" s="27" t="s">
        <v>59</v>
      </c>
      <c r="O12" s="27">
        <f>O11*O10</f>
        <v>1152250768.1498928</v>
      </c>
    </row>
    <row r="13" spans="1:23">
      <c r="B13" s="20" t="s">
        <v>40</v>
      </c>
      <c r="C13" s="20"/>
      <c r="D13" s="20"/>
      <c r="E13" s="20"/>
      <c r="F13" s="28">
        <f>F11*(1-F12)</f>
        <v>0.13197904636198646</v>
      </c>
    </row>
    <row r="17" spans="2:12">
      <c r="B17" s="21" t="s">
        <v>47</v>
      </c>
      <c r="C17" s="22"/>
      <c r="D17" s="22"/>
      <c r="I17" s="32" t="s">
        <v>50</v>
      </c>
      <c r="J17" s="32"/>
      <c r="K17" s="15"/>
      <c r="L17" s="15"/>
    </row>
    <row r="18" spans="2:12">
      <c r="K18" s="33" t="s">
        <v>53</v>
      </c>
      <c r="L18" s="33" t="s">
        <v>54</v>
      </c>
    </row>
    <row r="19" spans="2:12" ht="18.75">
      <c r="B19" t="s">
        <v>48</v>
      </c>
      <c r="D19" s="9">
        <f>K9</f>
        <v>7.0599999999999996E-2</v>
      </c>
      <c r="I19" t="s">
        <v>67</v>
      </c>
      <c r="J19" s="34"/>
      <c r="K19">
        <v>3031600</v>
      </c>
      <c r="L19" s="9">
        <f>K19/K21</f>
        <v>2.6241203740128951E-3</v>
      </c>
    </row>
    <row r="20" spans="2:12" ht="18.75">
      <c r="B20" t="s">
        <v>66</v>
      </c>
      <c r="D20" s="25">
        <v>4.5699999999999998E-2</v>
      </c>
      <c r="I20" t="s">
        <v>64</v>
      </c>
      <c r="J20" s="34"/>
      <c r="K20" s="60">
        <f>O12</f>
        <v>1152250768.1498928</v>
      </c>
      <c r="L20" s="9">
        <f>K20/K21</f>
        <v>0.99737587962598706</v>
      </c>
    </row>
    <row r="21" spans="2:12">
      <c r="B21" s="22" t="s">
        <v>49</v>
      </c>
      <c r="C21" s="22"/>
      <c r="D21" s="30">
        <v>0.99</v>
      </c>
      <c r="I21" s="35" t="s">
        <v>51</v>
      </c>
      <c r="J21" s="35"/>
      <c r="K21" s="61">
        <f>K20+K19</f>
        <v>1155282368.1498928</v>
      </c>
      <c r="L21" s="36">
        <f>K21/K21</f>
        <v>1</v>
      </c>
    </row>
    <row r="22" spans="2:12">
      <c r="B22" t="s">
        <v>47</v>
      </c>
      <c r="D22" s="29">
        <f>D19+(D20*D21)</f>
        <v>0.115843</v>
      </c>
    </row>
    <row r="24" spans="2:12">
      <c r="I24" s="37" t="s">
        <v>52</v>
      </c>
      <c r="J24" s="37"/>
      <c r="K24" s="38">
        <f>K19/K20</f>
        <v>2.6310244990052621E-3</v>
      </c>
      <c r="L24" s="38"/>
    </row>
    <row r="28" spans="2:12">
      <c r="I28" s="32" t="s">
        <v>55</v>
      </c>
      <c r="J28" s="15"/>
      <c r="K28" s="15"/>
      <c r="L28" s="15"/>
    </row>
    <row r="30" spans="2:12">
      <c r="J30" s="22" t="s">
        <v>56</v>
      </c>
      <c r="K30" s="22" t="s">
        <v>57</v>
      </c>
    </row>
    <row r="31" spans="2:12">
      <c r="I31" t="s">
        <v>58</v>
      </c>
      <c r="J31" s="9">
        <f>F13</f>
        <v>0.13197904636198646</v>
      </c>
      <c r="K31" s="9">
        <f>L19</f>
        <v>2.6241203740128951E-3</v>
      </c>
    </row>
    <row r="32" spans="2:12">
      <c r="I32" t="s">
        <v>59</v>
      </c>
      <c r="J32" s="9">
        <f>D22</f>
        <v>0.115843</v>
      </c>
      <c r="K32" s="14">
        <f>L20</f>
        <v>0.99737587962598706</v>
      </c>
    </row>
    <row r="33" spans="1:11">
      <c r="I33" s="20" t="s">
        <v>60</v>
      </c>
      <c r="J33" s="116">
        <f>(J31*K31)+(J32*K32)</f>
        <v>0.1158853429280145</v>
      </c>
      <c r="K33" s="116"/>
    </row>
    <row r="37" spans="1:11">
      <c r="B37" s="45" t="s">
        <v>131</v>
      </c>
      <c r="C37" s="45"/>
      <c r="D37" s="45"/>
      <c r="E37" s="45"/>
      <c r="F37" s="45"/>
      <c r="G37" s="45"/>
    </row>
    <row r="38" spans="1:11">
      <c r="A38" t="s">
        <v>0</v>
      </c>
      <c r="B38" t="s">
        <v>132</v>
      </c>
    </row>
    <row r="39" spans="1:11">
      <c r="B39">
        <v>1</v>
      </c>
      <c r="C39" s="24" t="s">
        <v>43</v>
      </c>
      <c r="D39" s="24"/>
      <c r="E39" s="24"/>
      <c r="F39" s="24"/>
    </row>
    <row r="40" spans="1:11">
      <c r="B40">
        <v>2</v>
      </c>
      <c r="C40" s="24" t="s">
        <v>46</v>
      </c>
    </row>
  </sheetData>
  <mergeCells count="3">
    <mergeCell ref="B1:I4"/>
    <mergeCell ref="R1:V1"/>
    <mergeCell ref="J33:K3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35"/>
  <sheetViews>
    <sheetView zoomScale="85" zoomScaleNormal="85" workbookViewId="0"/>
  </sheetViews>
  <sheetFormatPr defaultRowHeight="15.75"/>
  <cols>
    <col min="2" max="2" width="6.25" bestFit="1" customWidth="1"/>
    <col min="3" max="3" width="22.125" bestFit="1" customWidth="1"/>
    <col min="4" max="4" width="11.875" bestFit="1" customWidth="1"/>
    <col min="5" max="6" width="10.875" bestFit="1" customWidth="1"/>
    <col min="7" max="9" width="12.375" bestFit="1" customWidth="1"/>
    <col min="10" max="10" width="12.875" bestFit="1" customWidth="1"/>
    <col min="11" max="12" width="11.875" bestFit="1" customWidth="1"/>
    <col min="13" max="14" width="9.25" bestFit="1" customWidth="1"/>
    <col min="15" max="15" width="20.25" bestFit="1" customWidth="1"/>
    <col min="16" max="16" width="10.75" bestFit="1" customWidth="1"/>
    <col min="17" max="17" width="9.25" bestFit="1" customWidth="1"/>
    <col min="18" max="18" width="11.75" bestFit="1" customWidth="1"/>
    <col min="19" max="19" width="9.875" bestFit="1" customWidth="1"/>
    <col min="20" max="20" width="26.375" bestFit="1" customWidth="1"/>
    <col min="21" max="21" width="9.875" bestFit="1" customWidth="1"/>
    <col min="22" max="22" width="7.125" bestFit="1" customWidth="1"/>
    <col min="24" max="24" width="14" bestFit="1" customWidth="1"/>
    <col min="25" max="26" width="4.5" bestFit="1" customWidth="1"/>
    <col min="30" max="30" width="13.25" bestFit="1" customWidth="1"/>
    <col min="31" max="33" width="8.75" bestFit="1" customWidth="1"/>
  </cols>
  <sheetData>
    <row r="1" spans="1:33">
      <c r="E1" s="63"/>
      <c r="J1">
        <v>1016</v>
      </c>
      <c r="O1" s="64" t="s">
        <v>77</v>
      </c>
      <c r="T1" s="64" t="s">
        <v>78</v>
      </c>
    </row>
    <row r="2" spans="1:33">
      <c r="C2" s="82">
        <v>2022</v>
      </c>
      <c r="D2" s="78">
        <f>C2+1</f>
        <v>2023</v>
      </c>
      <c r="E2" s="78">
        <f t="shared" ref="E2:J2" si="0">D2+1</f>
        <v>2024</v>
      </c>
      <c r="F2" s="78">
        <f t="shared" si="0"/>
        <v>2025</v>
      </c>
      <c r="G2" s="78">
        <f t="shared" si="0"/>
        <v>2026</v>
      </c>
      <c r="H2" s="78">
        <f t="shared" si="0"/>
        <v>2027</v>
      </c>
      <c r="I2" s="78">
        <f t="shared" si="0"/>
        <v>2028</v>
      </c>
      <c r="J2" s="78">
        <f t="shared" si="0"/>
        <v>2029</v>
      </c>
      <c r="K2" s="65" t="s">
        <v>80</v>
      </c>
      <c r="M2">
        <f>AVERAGE(C3:F3)</f>
        <v>17055295</v>
      </c>
      <c r="N2">
        <v>2021</v>
      </c>
      <c r="O2" s="66"/>
      <c r="P2" s="65">
        <v>2022</v>
      </c>
      <c r="Q2" s="65">
        <f>P2+1</f>
        <v>2023</v>
      </c>
      <c r="R2" s="65">
        <f t="shared" ref="R2" si="1">Q2+1</f>
        <v>2024</v>
      </c>
      <c r="T2" s="65">
        <v>2021</v>
      </c>
      <c r="U2" s="65">
        <v>2022</v>
      </c>
      <c r="V2" s="65">
        <v>2023</v>
      </c>
      <c r="AE2" s="98">
        <v>2022</v>
      </c>
      <c r="AF2" s="97">
        <f>AE2+1</f>
        <v>2023</v>
      </c>
      <c r="AG2" s="97">
        <f t="shared" ref="AG2" si="2">AF2+1</f>
        <v>2024</v>
      </c>
    </row>
    <row r="3" spans="1:33">
      <c r="A3" s="117" t="s">
        <v>81</v>
      </c>
      <c r="B3" s="118"/>
      <c r="C3" s="66">
        <v>16599700</v>
      </c>
      <c r="D3" s="79">
        <v>14806800</v>
      </c>
      <c r="E3" s="66">
        <v>17530800</v>
      </c>
      <c r="F3" s="77">
        <f>E3*(1+$P$12)</f>
        <v>19283880</v>
      </c>
      <c r="G3" s="77">
        <f t="shared" ref="G3:J3" si="3">F3*(1+$P$12)</f>
        <v>21212268</v>
      </c>
      <c r="H3" s="77">
        <f t="shared" si="3"/>
        <v>23333494.800000001</v>
      </c>
      <c r="I3" s="77">
        <f t="shared" si="3"/>
        <v>25666844.280000001</v>
      </c>
      <c r="J3" s="77">
        <f t="shared" si="3"/>
        <v>28233528.708000004</v>
      </c>
      <c r="K3" s="66"/>
      <c r="N3">
        <v>49658400</v>
      </c>
      <c r="O3" s="65" t="s">
        <v>82</v>
      </c>
      <c r="P3" s="66">
        <v>58307200</v>
      </c>
      <c r="Q3" s="66">
        <v>66009000</v>
      </c>
      <c r="R3" s="66">
        <v>76334000</v>
      </c>
      <c r="T3" s="66">
        <v>307.45</v>
      </c>
      <c r="U3" s="66">
        <v>301.26</v>
      </c>
      <c r="V3" s="66">
        <v>287.22000000000003</v>
      </c>
      <c r="X3" s="100" t="s">
        <v>79</v>
      </c>
      <c r="Y3" s="68"/>
      <c r="Z3" s="68"/>
      <c r="AD3" s="67" t="s">
        <v>81</v>
      </c>
      <c r="AE3" s="66">
        <v>1016</v>
      </c>
      <c r="AF3" s="79">
        <v>-14265</v>
      </c>
      <c r="AG3" s="66">
        <v>589</v>
      </c>
    </row>
    <row r="4" spans="1:33">
      <c r="A4" s="117" t="s">
        <v>83</v>
      </c>
      <c r="B4" s="118"/>
      <c r="C4" s="66">
        <v>4100900</v>
      </c>
      <c r="D4" s="80">
        <v>3753300</v>
      </c>
      <c r="E4" s="68">
        <v>4366100</v>
      </c>
      <c r="F4" s="68">
        <f>F3*$P$14</f>
        <v>4820970</v>
      </c>
      <c r="G4" s="68">
        <f>G3*$P$14</f>
        <v>5303067</v>
      </c>
      <c r="H4" s="68">
        <f>H3*$P$14</f>
        <v>5833373.7000000002</v>
      </c>
      <c r="I4" s="68">
        <f>I3*$P$14</f>
        <v>6416711.0700000003</v>
      </c>
      <c r="J4" s="68">
        <f>J3*$P$14</f>
        <v>7058382.1770000011</v>
      </c>
      <c r="K4" s="66"/>
      <c r="N4" s="66">
        <f>103991</f>
        <v>103991</v>
      </c>
      <c r="O4" s="65" t="s">
        <v>84</v>
      </c>
      <c r="P4" s="66">
        <v>36331100</v>
      </c>
      <c r="Q4">
        <v>38355400</v>
      </c>
      <c r="R4" s="66">
        <v>42830800</v>
      </c>
      <c r="T4" s="66" t="s">
        <v>85</v>
      </c>
      <c r="U4" s="69">
        <f>(U3-T3)/T3</f>
        <v>-2.013335501707594E-2</v>
      </c>
      <c r="V4" s="69">
        <f>(V3-U3)/U3</f>
        <v>-4.6604262099183308E-2</v>
      </c>
      <c r="X4" s="65">
        <v>2022</v>
      </c>
      <c r="Y4" s="65">
        <f>X4+1</f>
        <v>2023</v>
      </c>
      <c r="Z4" s="65">
        <f t="shared" ref="Z4" si="4">Y4+1</f>
        <v>2024</v>
      </c>
      <c r="AD4" t="s">
        <v>112</v>
      </c>
      <c r="AE4" s="67">
        <f>C8</f>
        <v>-2583200</v>
      </c>
      <c r="AF4" s="67">
        <f>D8</f>
        <v>-5877900</v>
      </c>
      <c r="AG4" s="67">
        <f>E8</f>
        <v>-7860700</v>
      </c>
    </row>
    <row r="5" spans="1:33">
      <c r="A5" s="117" t="s">
        <v>88</v>
      </c>
      <c r="B5" s="118"/>
      <c r="C5" s="66">
        <f t="shared" ref="C5:J5" si="5">C3-C4</f>
        <v>12498800</v>
      </c>
      <c r="D5" s="66">
        <f t="shared" si="5"/>
        <v>11053500</v>
      </c>
      <c r="E5" s="66">
        <f t="shared" si="5"/>
        <v>13164700</v>
      </c>
      <c r="F5" s="66">
        <f t="shared" si="5"/>
        <v>14462910</v>
      </c>
      <c r="G5" s="68">
        <f t="shared" si="5"/>
        <v>15909201</v>
      </c>
      <c r="H5" s="68">
        <f t="shared" si="5"/>
        <v>17500121.100000001</v>
      </c>
      <c r="I5" s="68">
        <f t="shared" si="5"/>
        <v>19250133.210000001</v>
      </c>
      <c r="J5" s="68">
        <f t="shared" si="5"/>
        <v>21175146.531000003</v>
      </c>
      <c r="K5" s="66"/>
      <c r="N5">
        <f>N3-N4</f>
        <v>49554409</v>
      </c>
      <c r="O5" s="65" t="s">
        <v>89</v>
      </c>
      <c r="P5" s="66">
        <f>P3-P4</f>
        <v>21976100</v>
      </c>
      <c r="Q5" s="66">
        <f>Q3-Q4</f>
        <v>27653600</v>
      </c>
      <c r="R5" s="66">
        <f>R3-R4</f>
        <v>33503200</v>
      </c>
      <c r="T5" t="s">
        <v>90</v>
      </c>
      <c r="U5" s="62">
        <f>AVERAGE(U4:V4)</f>
        <v>-3.3368808558129626E-2</v>
      </c>
      <c r="X5" s="22" t="s">
        <v>90</v>
      </c>
      <c r="Y5" s="99">
        <v>0.25</v>
      </c>
      <c r="Z5" s="22"/>
      <c r="AD5" t="s">
        <v>127</v>
      </c>
      <c r="AE5">
        <f>AVERAGE(AE4:AG4)</f>
        <v>-5440600</v>
      </c>
    </row>
    <row r="6" spans="1:33">
      <c r="A6" s="117" t="s">
        <v>87</v>
      </c>
      <c r="B6" s="118"/>
      <c r="C6" s="66">
        <v>-9979800</v>
      </c>
      <c r="D6" s="79">
        <v>-12235900</v>
      </c>
      <c r="E6" s="66">
        <v>-15110000</v>
      </c>
      <c r="F6" s="66">
        <v>-12441900</v>
      </c>
      <c r="G6" s="66">
        <v>-12441900</v>
      </c>
      <c r="H6" s="66">
        <v>-12441900</v>
      </c>
      <c r="I6" s="66">
        <v>-12441900</v>
      </c>
      <c r="J6" s="66">
        <v>-12441900</v>
      </c>
      <c r="K6" s="66"/>
      <c r="O6" s="64" t="s">
        <v>91</v>
      </c>
      <c r="P6">
        <f>P5-N5</f>
        <v>-27578309</v>
      </c>
      <c r="Q6">
        <f>Q5-P5</f>
        <v>5677500</v>
      </c>
      <c r="R6">
        <f>R5-Q5</f>
        <v>5849600</v>
      </c>
    </row>
    <row r="7" spans="1:33">
      <c r="A7" s="117" t="s">
        <v>92</v>
      </c>
      <c r="B7" s="118"/>
      <c r="C7" s="66">
        <f t="shared" ref="C7:J7" si="6">C5+C6</f>
        <v>2519000</v>
      </c>
      <c r="D7" s="66">
        <f t="shared" si="6"/>
        <v>-1182400</v>
      </c>
      <c r="E7" s="66">
        <f t="shared" si="6"/>
        <v>-1945300</v>
      </c>
      <c r="F7" s="66">
        <f t="shared" si="6"/>
        <v>2021010</v>
      </c>
      <c r="G7" s="66">
        <f t="shared" si="6"/>
        <v>3467301</v>
      </c>
      <c r="H7" s="66">
        <f t="shared" si="6"/>
        <v>5058221.1000000015</v>
      </c>
      <c r="I7" s="66">
        <f t="shared" si="6"/>
        <v>6808233.2100000009</v>
      </c>
      <c r="J7" s="66">
        <f t="shared" si="6"/>
        <v>8733246.5310000032</v>
      </c>
      <c r="K7" s="66"/>
      <c r="O7" s="70" t="s">
        <v>93</v>
      </c>
      <c r="P7">
        <f>AVERAGE(P6:R6)</f>
        <v>-5350403</v>
      </c>
    </row>
    <row r="8" spans="1:33">
      <c r="A8" s="117" t="s">
        <v>94</v>
      </c>
      <c r="B8" s="118"/>
      <c r="C8" s="66">
        <v>-2583200</v>
      </c>
      <c r="D8" s="79">
        <v>-5877900</v>
      </c>
      <c r="E8" s="66">
        <v>-7860700</v>
      </c>
      <c r="F8" s="66">
        <v>-5440600</v>
      </c>
      <c r="G8" s="66">
        <v>-5440600</v>
      </c>
      <c r="H8" s="66">
        <v>-5440600</v>
      </c>
      <c r="I8" s="66">
        <v>-5440600</v>
      </c>
      <c r="J8" s="66">
        <v>-5440600</v>
      </c>
      <c r="K8" s="66"/>
      <c r="O8" s="66" t="s">
        <v>95</v>
      </c>
      <c r="P8" s="71">
        <f>[1]WACC!F13</f>
        <v>0.17913669064748203</v>
      </c>
    </row>
    <row r="9" spans="1:33">
      <c r="A9" s="117" t="s">
        <v>96</v>
      </c>
      <c r="B9" s="118"/>
      <c r="C9" s="66">
        <v>-59911</v>
      </c>
      <c r="D9" s="79">
        <v>-11546</v>
      </c>
      <c r="E9" s="66">
        <v>26501</v>
      </c>
      <c r="F9" s="66">
        <v>-13414</v>
      </c>
      <c r="G9" s="68">
        <v>513.66666666666663</v>
      </c>
      <c r="H9" s="68">
        <v>513.66666666666663</v>
      </c>
      <c r="I9" s="68">
        <v>513.66666666666663</v>
      </c>
      <c r="J9" s="68">
        <v>513.66666666666663</v>
      </c>
      <c r="K9" s="66"/>
      <c r="O9" s="66" t="s">
        <v>97</v>
      </c>
      <c r="P9" s="72">
        <f>[1]Sheet1!D22</f>
        <v>0.12157564940035802</v>
      </c>
      <c r="R9" t="s">
        <v>125</v>
      </c>
      <c r="S9" s="66">
        <v>-9979800</v>
      </c>
      <c r="T9" s="79">
        <v>-12235900</v>
      </c>
      <c r="U9" s="66">
        <v>-15110000</v>
      </c>
    </row>
    <row r="10" spans="1:33">
      <c r="A10" s="117" t="s">
        <v>98</v>
      </c>
      <c r="B10" s="118"/>
      <c r="C10" s="66">
        <f>C7-(C8+C9)</f>
        <v>5162111</v>
      </c>
      <c r="D10" s="66">
        <f t="shared" ref="D10:J10" si="7">D7-(D8+D9)</f>
        <v>4707046</v>
      </c>
      <c r="E10" s="66">
        <f t="shared" si="7"/>
        <v>5888899</v>
      </c>
      <c r="F10" s="66">
        <f t="shared" si="7"/>
        <v>7475024</v>
      </c>
      <c r="G10" s="66">
        <f t="shared" si="7"/>
        <v>8907387.3333333321</v>
      </c>
      <c r="H10" s="66">
        <f t="shared" si="7"/>
        <v>10498307.433333334</v>
      </c>
      <c r="I10" s="66">
        <f t="shared" si="7"/>
        <v>12248319.543333333</v>
      </c>
      <c r="J10" s="66">
        <f t="shared" si="7"/>
        <v>14173332.864333335</v>
      </c>
      <c r="K10" s="68">
        <f>J10*(1+P13)</f>
        <v>15023732.836193336</v>
      </c>
      <c r="O10" s="66" t="s">
        <v>99</v>
      </c>
      <c r="P10" s="71">
        <f>[1]Sheet1!L19</f>
        <v>0.25099639015835479</v>
      </c>
      <c r="R10" t="s">
        <v>90</v>
      </c>
      <c r="S10">
        <f>AVERAGE(S9:U9)</f>
        <v>-12441900</v>
      </c>
    </row>
    <row r="11" spans="1:33">
      <c r="A11" s="117" t="s">
        <v>100</v>
      </c>
      <c r="B11" s="118"/>
      <c r="C11" s="66"/>
      <c r="D11" s="79"/>
      <c r="E11" s="66"/>
      <c r="F11" s="66"/>
      <c r="G11" s="66"/>
      <c r="H11" s="66"/>
      <c r="I11" s="66"/>
      <c r="J11" s="68">
        <f>P16</f>
        <v>150237328.36193335</v>
      </c>
      <c r="K11" s="66"/>
      <c r="O11" s="66" t="s">
        <v>101</v>
      </c>
      <c r="P11" s="73">
        <f>[1]Sheet1!L20</f>
        <v>0.74900360984164527</v>
      </c>
    </row>
    <row r="12" spans="1:33">
      <c r="A12" s="117" t="s">
        <v>102</v>
      </c>
      <c r="B12" s="118"/>
      <c r="C12" s="66">
        <f>C10</f>
        <v>5162111</v>
      </c>
      <c r="D12" s="66">
        <f t="shared" ref="D12:I12" si="8">D10</f>
        <v>4707046</v>
      </c>
      <c r="E12" s="66">
        <f t="shared" si="8"/>
        <v>5888899</v>
      </c>
      <c r="F12" s="66">
        <f t="shared" si="8"/>
        <v>7475024</v>
      </c>
      <c r="G12" s="66">
        <f t="shared" si="8"/>
        <v>8907387.3333333321</v>
      </c>
      <c r="H12" s="66">
        <f t="shared" si="8"/>
        <v>10498307.433333334</v>
      </c>
      <c r="I12" s="66">
        <f t="shared" si="8"/>
        <v>12248319.543333333</v>
      </c>
      <c r="J12" s="68">
        <f>J10+J11</f>
        <v>164410661.22626668</v>
      </c>
      <c r="K12" s="66"/>
      <c r="O12" s="66" t="s">
        <v>103</v>
      </c>
      <c r="P12" s="71">
        <v>0.1</v>
      </c>
    </row>
    <row r="13" spans="1:33">
      <c r="A13" s="117" t="s">
        <v>104</v>
      </c>
      <c r="B13" s="118"/>
      <c r="C13" s="66"/>
      <c r="D13" s="80">
        <f>NPV(P15,C12:J12)</f>
        <v>90573888.840358853</v>
      </c>
      <c r="O13" s="66" t="s">
        <v>105</v>
      </c>
      <c r="P13" s="71">
        <v>0.06</v>
      </c>
      <c r="Q13" t="s">
        <v>106</v>
      </c>
    </row>
    <row r="14" spans="1:33">
      <c r="A14" s="117" t="s">
        <v>107</v>
      </c>
      <c r="B14" s="118"/>
      <c r="C14" s="66"/>
      <c r="D14">
        <f>14669-3180</f>
        <v>11489</v>
      </c>
      <c r="O14" s="66" t="s">
        <v>83</v>
      </c>
      <c r="P14" s="71">
        <v>0.25</v>
      </c>
    </row>
    <row r="15" spans="1:33">
      <c r="A15" s="117" t="s">
        <v>108</v>
      </c>
      <c r="B15" s="118"/>
      <c r="C15" s="66"/>
      <c r="D15" s="47">
        <f>(D13-D14)</f>
        <v>90562399.840358853</v>
      </c>
      <c r="O15" s="66" t="s">
        <v>60</v>
      </c>
      <c r="P15" s="71">
        <f>[1]Sheet1!J33</f>
        <v>0.13602326296714232</v>
      </c>
    </row>
    <row r="16" spans="1:33">
      <c r="A16" s="117" t="s">
        <v>109</v>
      </c>
      <c r="B16" s="118"/>
      <c r="C16" s="66"/>
      <c r="D16">
        <v>197610003</v>
      </c>
      <c r="O16" s="74" t="s">
        <v>110</v>
      </c>
      <c r="P16" s="75">
        <f>K10*10</f>
        <v>150237328.36193335</v>
      </c>
    </row>
    <row r="17" spans="1:16">
      <c r="A17" s="117" t="s">
        <v>111</v>
      </c>
      <c r="B17" s="118"/>
      <c r="C17" s="66"/>
      <c r="D17" s="81">
        <f>D15/D16</f>
        <v>0.45828854038506772</v>
      </c>
    </row>
    <row r="18" spans="1:16">
      <c r="P18" s="9"/>
    </row>
    <row r="19" spans="1:16">
      <c r="P19" s="9"/>
    </row>
    <row r="20" spans="1:16">
      <c r="P20" s="9"/>
    </row>
    <row r="21" spans="1:16">
      <c r="B21" t="s">
        <v>128</v>
      </c>
      <c r="C21" t="s">
        <v>129</v>
      </c>
      <c r="P21" s="9"/>
    </row>
    <row r="31" spans="1:16">
      <c r="E31" s="76"/>
      <c r="F31" s="9"/>
    </row>
    <row r="32" spans="1:16">
      <c r="D32" s="8"/>
    </row>
    <row r="33" spans="4:4">
      <c r="D33" s="8"/>
    </row>
    <row r="34" spans="4:4">
      <c r="D34" s="8"/>
    </row>
    <row r="35" spans="4:4">
      <c r="D35" s="8"/>
    </row>
  </sheetData>
  <mergeCells count="15">
    <mergeCell ref="A3:B3"/>
    <mergeCell ref="A4:B4"/>
    <mergeCell ref="A5:B5"/>
    <mergeCell ref="A17:B17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16:B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D21" sqref="D21"/>
    </sheetView>
  </sheetViews>
  <sheetFormatPr defaultColWidth="11.25"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760"/>
  <sheetViews>
    <sheetView showGridLines="0" topLeftCell="N1" zoomScale="70" zoomScaleNormal="70" workbookViewId="0">
      <selection activeCell="AG17" sqref="AG17"/>
    </sheetView>
  </sheetViews>
  <sheetFormatPr defaultColWidth="11.25" defaultRowHeight="15.75"/>
  <cols>
    <col min="1" max="1" width="2" customWidth="1"/>
    <col min="5" max="5" width="5" customWidth="1"/>
    <col min="6" max="6" width="11.75" bestFit="1" customWidth="1"/>
    <col min="21" max="21" width="13.5" bestFit="1" customWidth="1"/>
  </cols>
  <sheetData>
    <row r="1" spans="1:28">
      <c r="A1" t="s">
        <v>0</v>
      </c>
      <c r="B1" s="106" t="s">
        <v>116</v>
      </c>
      <c r="C1" s="107"/>
      <c r="D1" s="108"/>
    </row>
    <row r="2" spans="1:28">
      <c r="B2" s="109" t="s">
        <v>7</v>
      </c>
      <c r="C2" s="109"/>
      <c r="D2" s="109"/>
      <c r="E2" s="45"/>
      <c r="F2" s="45"/>
      <c r="G2" s="45"/>
      <c r="H2" s="45"/>
      <c r="I2" s="45"/>
    </row>
    <row r="4" spans="1:28">
      <c r="A4" t="s">
        <v>0</v>
      </c>
      <c r="B4" s="105" t="s">
        <v>6</v>
      </c>
      <c r="C4" s="105"/>
      <c r="D4" s="105"/>
      <c r="I4" s="105" t="s">
        <v>115</v>
      </c>
      <c r="J4" s="105"/>
      <c r="K4" s="105"/>
      <c r="P4" s="15"/>
      <c r="Q4" s="15"/>
      <c r="T4" s="15"/>
      <c r="U4" s="111" t="str">
        <f>B1</f>
        <v>ALSTOM</v>
      </c>
      <c r="V4" s="112"/>
    </row>
    <row r="5" spans="1:28" ht="16.5" thickBot="1">
      <c r="B5" s="10" t="s">
        <v>1</v>
      </c>
      <c r="C5" s="11" t="s">
        <v>3</v>
      </c>
      <c r="D5" s="12" t="s">
        <v>2</v>
      </c>
      <c r="I5" s="3" t="s">
        <v>1</v>
      </c>
      <c r="J5" s="7" t="s">
        <v>3</v>
      </c>
      <c r="K5" s="6" t="s">
        <v>2</v>
      </c>
      <c r="P5" s="1"/>
      <c r="Q5" s="1"/>
      <c r="R5" s="105" t="s">
        <v>8</v>
      </c>
      <c r="S5" s="105"/>
      <c r="T5" s="1"/>
      <c r="U5" s="1"/>
      <c r="V5" s="1"/>
      <c r="W5" s="1"/>
      <c r="X5" s="1"/>
      <c r="Y5" s="1"/>
      <c r="Z5" s="1"/>
      <c r="AA5" s="1"/>
      <c r="AB5" s="1"/>
    </row>
    <row r="6" spans="1:28" ht="16.5" thickTop="1">
      <c r="B6" s="85">
        <v>44564</v>
      </c>
      <c r="C6" s="47">
        <v>17625.699218999998</v>
      </c>
      <c r="E6" s="41"/>
      <c r="F6" s="41"/>
      <c r="I6" s="85">
        <f>B6</f>
        <v>44564</v>
      </c>
      <c r="J6" s="47">
        <v>31.136600000000001</v>
      </c>
      <c r="K6" s="42"/>
      <c r="P6" t="s">
        <v>9</v>
      </c>
    </row>
    <row r="7" spans="1:28" ht="16.5" thickBot="1">
      <c r="B7" s="85">
        <v>44565</v>
      </c>
      <c r="C7" s="47">
        <v>17805.25</v>
      </c>
      <c r="D7" s="8">
        <f>(C7-C6)/C6</f>
        <v>1.0186874220935935E-2</v>
      </c>
      <c r="E7" s="41"/>
      <c r="F7" s="2" t="s">
        <v>4</v>
      </c>
      <c r="G7" s="14">
        <f>AVERAGE(D7:D637)</f>
        <v>5.8395061503815091E-4</v>
      </c>
      <c r="I7" s="85">
        <f t="shared" ref="I7:I70" si="0">B7</f>
        <v>44565</v>
      </c>
      <c r="J7" s="47">
        <v>31.224945000000002</v>
      </c>
      <c r="K7" s="8">
        <f>(J7-J6)/J6</f>
        <v>2.8373361253316142E-3</v>
      </c>
      <c r="M7" s="2" t="s">
        <v>4</v>
      </c>
      <c r="N7" s="14">
        <f>AVERAGE(K7:K637)</f>
        <v>-5.0591233470200913E-4</v>
      </c>
    </row>
    <row r="8" spans="1:28">
      <c r="B8" s="85">
        <v>44566</v>
      </c>
      <c r="C8" s="47">
        <v>17925.25</v>
      </c>
      <c r="D8" s="8">
        <f t="shared" ref="D8:D71" si="1">(C8-C7)/C7</f>
        <v>6.7395852346920151E-3</v>
      </c>
      <c r="E8" s="41"/>
      <c r="F8" s="2"/>
      <c r="G8" s="13"/>
      <c r="I8" s="85">
        <f t="shared" si="0"/>
        <v>44566</v>
      </c>
      <c r="J8" s="47">
        <v>32.137844000000001</v>
      </c>
      <c r="K8" s="8">
        <f t="shared" ref="K8:K71" si="2">(J8-J7)/J7</f>
        <v>2.9236208422464778E-2</v>
      </c>
      <c r="M8" s="2"/>
      <c r="N8" s="13"/>
      <c r="P8" s="89" t="s">
        <v>10</v>
      </c>
      <c r="Q8" s="89"/>
    </row>
    <row r="9" spans="1:28" ht="16.5" thickBot="1">
      <c r="B9" s="85">
        <v>44567</v>
      </c>
      <c r="C9" s="47">
        <v>17745.900390999999</v>
      </c>
      <c r="D9" s="8">
        <f t="shared" si="1"/>
        <v>-1.0005417441876725E-2</v>
      </c>
      <c r="E9" s="41"/>
      <c r="F9" s="43" t="s">
        <v>5</v>
      </c>
      <c r="G9" s="44">
        <f>_xlfn.STDEV.P(D7:D637)</f>
        <v>8.9722628621603465E-3</v>
      </c>
      <c r="I9" s="85">
        <f t="shared" si="0"/>
        <v>44567</v>
      </c>
      <c r="J9" s="47">
        <v>31.931704</v>
      </c>
      <c r="K9" s="8">
        <f t="shared" si="2"/>
        <v>-6.4142448385772644E-3</v>
      </c>
      <c r="M9" s="2" t="s">
        <v>5</v>
      </c>
      <c r="N9" s="16">
        <f>_xlfn.STDEV.P(K7:K637)</f>
        <v>3.044975299592988E-2</v>
      </c>
      <c r="P9" s="86" t="s">
        <v>11</v>
      </c>
      <c r="Q9" s="86">
        <v>4.9701438178455494E-2</v>
      </c>
    </row>
    <row r="10" spans="1:28" ht="16.5" thickTop="1">
      <c r="B10" s="85">
        <v>44568</v>
      </c>
      <c r="C10" s="47">
        <v>17812.699218999998</v>
      </c>
      <c r="D10" s="8">
        <f t="shared" si="1"/>
        <v>3.7641836440080946E-3</v>
      </c>
      <c r="E10" s="41"/>
      <c r="F10" s="41"/>
      <c r="I10" s="85">
        <f t="shared" si="0"/>
        <v>44568</v>
      </c>
      <c r="J10" s="47">
        <v>31.882624</v>
      </c>
      <c r="K10" s="8">
        <f t="shared" si="2"/>
        <v>-1.5370304071464526E-3</v>
      </c>
      <c r="M10" s="17"/>
      <c r="N10" s="17"/>
      <c r="P10" s="86" t="s">
        <v>12</v>
      </c>
      <c r="Q10" s="86">
        <v>2.4702329570068333E-3</v>
      </c>
    </row>
    <row r="11" spans="1:28">
      <c r="B11" s="85">
        <v>44571</v>
      </c>
      <c r="C11" s="47">
        <v>18003.300781000002</v>
      </c>
      <c r="D11" s="8">
        <f t="shared" si="1"/>
        <v>1.0700318893651863E-2</v>
      </c>
      <c r="E11" s="41"/>
      <c r="F11" s="41"/>
      <c r="I11" s="85">
        <f t="shared" si="0"/>
        <v>44571</v>
      </c>
      <c r="J11" s="47">
        <v>32.461768999999997</v>
      </c>
      <c r="K11" s="8">
        <f t="shared" si="2"/>
        <v>1.8164910140394872E-2</v>
      </c>
      <c r="P11" s="86" t="s">
        <v>13</v>
      </c>
      <c r="Q11" s="86">
        <v>8.843350761753658E-4</v>
      </c>
    </row>
    <row r="12" spans="1:28">
      <c r="B12" s="85">
        <v>44572</v>
      </c>
      <c r="C12" s="47">
        <v>18055.75</v>
      </c>
      <c r="D12" s="8">
        <f t="shared" si="1"/>
        <v>2.9133112665290341E-3</v>
      </c>
      <c r="E12" s="41"/>
      <c r="F12" s="41"/>
      <c r="I12" s="85">
        <f t="shared" si="0"/>
        <v>44572</v>
      </c>
      <c r="J12" s="47">
        <v>33.443378000000003</v>
      </c>
      <c r="K12" s="8">
        <f t="shared" si="2"/>
        <v>3.0238925056733847E-2</v>
      </c>
      <c r="P12" s="86" t="s">
        <v>14</v>
      </c>
      <c r="Q12" s="86">
        <v>3.0460432330258799E-2</v>
      </c>
    </row>
    <row r="13" spans="1:28" ht="16.5" thickBot="1">
      <c r="B13" s="85">
        <v>44573</v>
      </c>
      <c r="C13" s="47">
        <v>18212.349609000001</v>
      </c>
      <c r="D13" s="8">
        <f t="shared" si="1"/>
        <v>8.6731157110616162E-3</v>
      </c>
      <c r="E13" s="41"/>
      <c r="F13" s="41"/>
      <c r="I13" s="85">
        <f t="shared" si="0"/>
        <v>44573</v>
      </c>
      <c r="J13" s="47">
        <v>33.197978999999997</v>
      </c>
      <c r="K13" s="8">
        <f>(J13-J12)/J12</f>
        <v>-7.3377456069182402E-3</v>
      </c>
      <c r="P13" s="87" t="s">
        <v>15</v>
      </c>
      <c r="Q13" s="87">
        <v>631</v>
      </c>
    </row>
    <row r="14" spans="1:28">
      <c r="B14" s="85">
        <v>44574</v>
      </c>
      <c r="C14" s="47">
        <v>18257.800781000002</v>
      </c>
      <c r="D14" s="8">
        <f t="shared" si="1"/>
        <v>2.4956237375072317E-3</v>
      </c>
      <c r="E14" s="41"/>
      <c r="F14" s="41"/>
      <c r="I14" s="85">
        <f t="shared" si="0"/>
        <v>44574</v>
      </c>
      <c r="J14" s="47">
        <v>33.885105000000003</v>
      </c>
      <c r="K14" s="8">
        <f t="shared" si="2"/>
        <v>2.069782621405979E-2</v>
      </c>
    </row>
    <row r="15" spans="1:28" ht="16.5" thickBot="1">
      <c r="B15" s="85">
        <v>44575</v>
      </c>
      <c r="C15" s="47">
        <v>18255.75</v>
      </c>
      <c r="D15" s="8">
        <f t="shared" si="1"/>
        <v>-1.1232355005953847E-4</v>
      </c>
      <c r="E15" s="41"/>
      <c r="F15" s="41"/>
      <c r="I15" s="85">
        <f t="shared" si="0"/>
        <v>44575</v>
      </c>
      <c r="J15" s="47">
        <v>33.129264999999997</v>
      </c>
      <c r="K15" s="8">
        <f t="shared" si="2"/>
        <v>-2.2305965998925079E-2</v>
      </c>
      <c r="P15" t="s">
        <v>16</v>
      </c>
    </row>
    <row r="16" spans="1:28">
      <c r="B16" s="85">
        <v>44578</v>
      </c>
      <c r="C16" s="47">
        <v>18308.099609000001</v>
      </c>
      <c r="D16" s="8">
        <f t="shared" si="1"/>
        <v>2.8675682456212855E-3</v>
      </c>
      <c r="E16" s="41"/>
      <c r="F16" s="41"/>
      <c r="I16" s="85">
        <f t="shared" si="0"/>
        <v>44578</v>
      </c>
      <c r="J16" s="47">
        <v>33.335402999999999</v>
      </c>
      <c r="K16" s="8">
        <f>(J16-J15)/J15</f>
        <v>6.2222328204384501E-3</v>
      </c>
      <c r="P16" s="88"/>
      <c r="Q16" s="88" t="s">
        <v>21</v>
      </c>
      <c r="R16" s="88" t="s">
        <v>22</v>
      </c>
      <c r="S16" s="88" t="s">
        <v>23</v>
      </c>
      <c r="T16" s="88" t="s">
        <v>24</v>
      </c>
      <c r="U16" s="88" t="s">
        <v>25</v>
      </c>
    </row>
    <row r="17" spans="2:27">
      <c r="B17" s="85">
        <v>44579</v>
      </c>
      <c r="C17" s="47">
        <v>18113.050781000002</v>
      </c>
      <c r="D17" s="8">
        <f t="shared" si="1"/>
        <v>-1.0653690561313956E-2</v>
      </c>
      <c r="E17" s="41"/>
      <c r="F17" s="41"/>
      <c r="I17" s="85">
        <f t="shared" si="0"/>
        <v>44579</v>
      </c>
      <c r="J17" s="47">
        <v>32.893681000000001</v>
      </c>
      <c r="K17" s="8">
        <f t="shared" si="2"/>
        <v>-1.3250837255514764E-2</v>
      </c>
      <c r="P17" s="86" t="s">
        <v>17</v>
      </c>
      <c r="Q17" s="86">
        <v>1</v>
      </c>
      <c r="R17" s="86">
        <v>1.445222848384442E-3</v>
      </c>
      <c r="S17" s="86">
        <v>1.445222848384442E-3</v>
      </c>
      <c r="T17" s="86">
        <v>1.5576242246516649</v>
      </c>
      <c r="U17" s="86">
        <v>0.2124778043987044</v>
      </c>
    </row>
    <row r="18" spans="2:27">
      <c r="B18" s="85">
        <v>44580</v>
      </c>
      <c r="C18" s="47">
        <v>17938.400390999999</v>
      </c>
      <c r="D18" s="8">
        <f t="shared" si="1"/>
        <v>-9.6422403995689715E-3</v>
      </c>
      <c r="E18" s="41"/>
      <c r="F18" s="41"/>
      <c r="I18" s="85">
        <f t="shared" si="0"/>
        <v>44580</v>
      </c>
      <c r="J18" s="47">
        <v>32.92313</v>
      </c>
      <c r="K18" s="8">
        <f t="shared" si="2"/>
        <v>8.9527833628591502E-4</v>
      </c>
      <c r="P18" s="86" t="s">
        <v>18</v>
      </c>
      <c r="Q18" s="86">
        <v>629</v>
      </c>
      <c r="R18" s="86">
        <v>0.58361006284240724</v>
      </c>
      <c r="S18" s="86">
        <v>9.2783793774627542E-4</v>
      </c>
      <c r="T18" s="86"/>
      <c r="U18" s="86"/>
    </row>
    <row r="19" spans="2:27" ht="16.5" thickBot="1">
      <c r="B19" s="85">
        <v>44581</v>
      </c>
      <c r="C19" s="47">
        <v>17757</v>
      </c>
      <c r="D19" s="8">
        <f t="shared" si="1"/>
        <v>-1.0112406181490457E-2</v>
      </c>
      <c r="E19" s="41"/>
      <c r="F19" s="41"/>
      <c r="I19" s="85">
        <f t="shared" si="0"/>
        <v>44581</v>
      </c>
      <c r="J19" s="47">
        <v>32.559928999999997</v>
      </c>
      <c r="K19" s="8">
        <f t="shared" si="2"/>
        <v>-1.1031788289874129E-2</v>
      </c>
      <c r="P19" s="87" t="s">
        <v>19</v>
      </c>
      <c r="Q19" s="87">
        <v>630</v>
      </c>
      <c r="R19" s="87">
        <v>0.58505528569079168</v>
      </c>
      <c r="S19" s="87"/>
      <c r="T19" s="87"/>
      <c r="U19" s="87"/>
    </row>
    <row r="20" spans="2:27" ht="16.5" thickBot="1">
      <c r="B20" s="85">
        <v>44582</v>
      </c>
      <c r="C20" s="47">
        <v>17617.150390999999</v>
      </c>
      <c r="D20" s="8">
        <f t="shared" si="1"/>
        <v>-7.8757452835501937E-3</v>
      </c>
      <c r="E20" s="41"/>
      <c r="F20" s="41"/>
      <c r="I20" s="85">
        <f t="shared" si="0"/>
        <v>44582</v>
      </c>
      <c r="J20" s="47">
        <v>30.920646999999999</v>
      </c>
      <c r="K20" s="8">
        <f t="shared" si="2"/>
        <v>-5.0346608556793786E-2</v>
      </c>
    </row>
    <row r="21" spans="2:27">
      <c r="B21" s="85">
        <v>44585</v>
      </c>
      <c r="C21" s="47">
        <v>17149.099609000001</v>
      </c>
      <c r="D21" s="8">
        <f t="shared" si="1"/>
        <v>-2.6567905229389972E-2</v>
      </c>
      <c r="E21" s="41"/>
      <c r="F21" s="41"/>
      <c r="I21" s="85">
        <f t="shared" si="0"/>
        <v>44585</v>
      </c>
      <c r="J21" s="47">
        <v>30.223707000000001</v>
      </c>
      <c r="K21" s="8">
        <f t="shared" si="2"/>
        <v>-2.2539631851817264E-2</v>
      </c>
      <c r="P21" s="88"/>
      <c r="Q21" s="88" t="s">
        <v>26</v>
      </c>
      <c r="R21" s="88" t="s">
        <v>14</v>
      </c>
      <c r="S21" s="88" t="s">
        <v>27</v>
      </c>
      <c r="T21" s="88" t="s">
        <v>28</v>
      </c>
      <c r="U21" s="88" t="s">
        <v>29</v>
      </c>
      <c r="V21" s="88" t="s">
        <v>30</v>
      </c>
      <c r="W21" s="88" t="s">
        <v>31</v>
      </c>
      <c r="X21" s="88" t="s">
        <v>32</v>
      </c>
    </row>
    <row r="22" spans="2:27">
      <c r="B22" s="85">
        <v>44586</v>
      </c>
      <c r="C22" s="47">
        <v>17277.949218999998</v>
      </c>
      <c r="D22" s="8">
        <f t="shared" si="1"/>
        <v>7.5134912583035007E-3</v>
      </c>
      <c r="E22" s="41"/>
      <c r="F22" s="41"/>
      <c r="I22" s="85">
        <f>B22</f>
        <v>44586</v>
      </c>
      <c r="J22" s="47">
        <v>30.567267999999999</v>
      </c>
      <c r="K22" s="8">
        <f t="shared" si="2"/>
        <v>1.1367268747013645E-2</v>
      </c>
      <c r="P22" s="86" t="s">
        <v>20</v>
      </c>
      <c r="Q22" s="86">
        <v>-6.0441020975721116E-4</v>
      </c>
      <c r="R22" s="86">
        <v>1.2151762145641936E-3</v>
      </c>
      <c r="S22" s="86">
        <v>-0.49738482576699766</v>
      </c>
      <c r="T22" s="86">
        <v>0.61909152329963502</v>
      </c>
      <c r="U22" s="86">
        <v>-2.9907035394276353E-3</v>
      </c>
      <c r="V22" s="86">
        <v>1.7818831199132128E-3</v>
      </c>
      <c r="W22" s="86">
        <v>-2.9907035394276353E-3</v>
      </c>
      <c r="X22" s="86">
        <v>1.7818831199132128E-3</v>
      </c>
    </row>
    <row r="23" spans="2:27" ht="16.5" thickBot="1">
      <c r="B23" s="85">
        <v>44588</v>
      </c>
      <c r="C23" s="47">
        <v>17110.150390999999</v>
      </c>
      <c r="D23" s="8">
        <f t="shared" si="1"/>
        <v>-9.7117329072524492E-3</v>
      </c>
      <c r="E23" s="41"/>
      <c r="F23" s="41"/>
      <c r="I23" s="85">
        <f t="shared" si="0"/>
        <v>44588</v>
      </c>
      <c r="J23" s="47">
        <v>31.735384</v>
      </c>
      <c r="K23" s="8">
        <f t="shared" si="2"/>
        <v>3.8214602626574327E-2</v>
      </c>
      <c r="P23" s="87" t="s">
        <v>33</v>
      </c>
      <c r="Q23" s="87">
        <v>0.16867500867135304</v>
      </c>
      <c r="R23" s="87">
        <v>0.13515104085459959</v>
      </c>
      <c r="S23" s="87">
        <v>1.2480481659983644</v>
      </c>
      <c r="T23" s="87">
        <v>0.21247780439867267</v>
      </c>
      <c r="U23" s="87">
        <v>-9.6726851095141675E-2</v>
      </c>
      <c r="V23" s="87">
        <v>0.43407686843784776</v>
      </c>
      <c r="W23" s="87">
        <v>-9.6726851095141675E-2</v>
      </c>
      <c r="X23" s="87">
        <v>0.43407686843784776</v>
      </c>
    </row>
    <row r="24" spans="2:27">
      <c r="B24" s="85">
        <v>44589</v>
      </c>
      <c r="C24" s="47">
        <v>17101.949218999998</v>
      </c>
      <c r="D24" s="8">
        <f t="shared" si="1"/>
        <v>-4.7931618440448059E-4</v>
      </c>
      <c r="E24" s="41"/>
      <c r="F24" s="41"/>
      <c r="I24" s="85">
        <f t="shared" si="0"/>
        <v>44589</v>
      </c>
      <c r="J24" s="47">
        <v>31.008993</v>
      </c>
      <c r="K24" s="8">
        <f t="shared" si="2"/>
        <v>-2.2888993559995983E-2</v>
      </c>
    </row>
    <row r="25" spans="2:27">
      <c r="B25" s="85">
        <v>44592</v>
      </c>
      <c r="C25" s="47">
        <v>17339.849609000001</v>
      </c>
      <c r="D25" s="8">
        <f t="shared" si="1"/>
        <v>1.3910717834181083E-2</v>
      </c>
      <c r="E25" s="41"/>
      <c r="F25" s="41"/>
      <c r="I25" s="85">
        <f t="shared" si="0"/>
        <v>44592</v>
      </c>
      <c r="J25" s="47">
        <v>28.466626999999999</v>
      </c>
      <c r="K25" s="8">
        <f t="shared" si="2"/>
        <v>-8.1988021990910875E-2</v>
      </c>
    </row>
    <row r="26" spans="2:27">
      <c r="B26" s="85">
        <v>44593</v>
      </c>
      <c r="C26" s="47">
        <v>17576.849609000001</v>
      </c>
      <c r="D26" s="8">
        <f t="shared" si="1"/>
        <v>1.3667938612165849E-2</v>
      </c>
      <c r="E26" s="41"/>
      <c r="F26" s="41"/>
      <c r="I26" s="85">
        <f t="shared" si="0"/>
        <v>44593</v>
      </c>
      <c r="J26" s="47">
        <v>28.123066000000001</v>
      </c>
      <c r="K26" s="8">
        <f t="shared" si="2"/>
        <v>-1.206890440514774E-2</v>
      </c>
    </row>
    <row r="27" spans="2:27">
      <c r="B27" s="85">
        <v>44594</v>
      </c>
      <c r="C27" s="47">
        <v>17780</v>
      </c>
      <c r="D27" s="8">
        <f t="shared" si="1"/>
        <v>1.1557838606981006E-2</v>
      </c>
      <c r="E27" s="41"/>
      <c r="F27" s="41"/>
      <c r="I27" s="85">
        <f t="shared" si="0"/>
        <v>44594</v>
      </c>
      <c r="J27" s="47">
        <v>27.740238000000002</v>
      </c>
      <c r="K27" s="8">
        <f t="shared" si="2"/>
        <v>-1.3612598284980732E-2</v>
      </c>
      <c r="P27" t="s">
        <v>34</v>
      </c>
    </row>
    <row r="28" spans="2:27" ht="16.5" thickBot="1">
      <c r="B28" s="85">
        <v>44595</v>
      </c>
      <c r="C28" s="47">
        <v>17560.199218999998</v>
      </c>
      <c r="D28" s="8">
        <f t="shared" si="1"/>
        <v>-1.2362248650168826E-2</v>
      </c>
      <c r="E28" s="41"/>
      <c r="F28" s="41"/>
      <c r="I28" s="85">
        <f t="shared" si="0"/>
        <v>44595</v>
      </c>
      <c r="J28" s="47">
        <v>28.348835000000001</v>
      </c>
      <c r="K28" s="8">
        <f t="shared" si="2"/>
        <v>2.1939141257547954E-2</v>
      </c>
    </row>
    <row r="29" spans="2:27">
      <c r="B29" s="85">
        <v>44596</v>
      </c>
      <c r="C29" s="47">
        <v>17516.300781000002</v>
      </c>
      <c r="D29" s="8">
        <f t="shared" si="1"/>
        <v>-2.4998826865528247E-3</v>
      </c>
      <c r="E29" s="41"/>
      <c r="F29" s="41"/>
      <c r="I29" s="85">
        <f t="shared" si="0"/>
        <v>44596</v>
      </c>
      <c r="J29" s="47">
        <v>27.975823999999999</v>
      </c>
      <c r="K29" s="8">
        <f t="shared" si="2"/>
        <v>-1.3157895200984511E-2</v>
      </c>
      <c r="P29" s="88" t="s">
        <v>35</v>
      </c>
      <c r="Q29" s="88" t="s">
        <v>36</v>
      </c>
      <c r="R29" s="88" t="s">
        <v>37</v>
      </c>
    </row>
    <row r="30" spans="2:27">
      <c r="B30" s="85">
        <v>44599</v>
      </c>
      <c r="C30" s="47">
        <v>17213.599609000001</v>
      </c>
      <c r="D30" s="8">
        <f t="shared" si="1"/>
        <v>-1.7281112935006348E-2</v>
      </c>
      <c r="E30" s="41"/>
      <c r="F30" s="41"/>
      <c r="I30" s="85">
        <f t="shared" si="0"/>
        <v>44599</v>
      </c>
      <c r="J30" s="47">
        <v>26.591757000000001</v>
      </c>
      <c r="K30" s="8">
        <f t="shared" si="2"/>
        <v>-4.9473681275661381E-2</v>
      </c>
      <c r="P30" s="86">
        <v>1</v>
      </c>
      <c r="Q30" s="86">
        <v>1.1138608877931406E-3</v>
      </c>
      <c r="R30" s="86">
        <v>1.7234752375384736E-3</v>
      </c>
    </row>
    <row r="31" spans="2:27">
      <c r="B31" s="85">
        <v>44600</v>
      </c>
      <c r="C31" s="47">
        <v>17266.75</v>
      </c>
      <c r="D31" s="8">
        <f t="shared" si="1"/>
        <v>3.0876976464707553E-3</v>
      </c>
      <c r="E31" s="41"/>
      <c r="F31" s="41"/>
      <c r="I31" s="85">
        <f t="shared" si="0"/>
        <v>44600</v>
      </c>
      <c r="J31" s="47">
        <v>26.002791999999999</v>
      </c>
      <c r="K31" s="8">
        <f t="shared" si="2"/>
        <v>-2.214840486095002E-2</v>
      </c>
      <c r="P31" s="86">
        <v>2</v>
      </c>
      <c r="Q31" s="86">
        <v>5.323893881457874E-4</v>
      </c>
      <c r="R31" s="86">
        <v>2.8703819034318991E-2</v>
      </c>
      <c r="Y31" s="102"/>
      <c r="Z31" s="102"/>
      <c r="AA31" s="102"/>
    </row>
    <row r="32" spans="2:27">
      <c r="B32" s="85">
        <v>44601</v>
      </c>
      <c r="C32" s="47">
        <v>17463.800781000002</v>
      </c>
      <c r="D32" s="8">
        <f t="shared" si="1"/>
        <v>1.1412152315867301E-2</v>
      </c>
      <c r="E32" s="41"/>
      <c r="F32" s="41"/>
      <c r="I32" s="85">
        <f t="shared" si="0"/>
        <v>44601</v>
      </c>
      <c r="J32" s="47">
        <v>25.816286000000002</v>
      </c>
      <c r="K32" s="8">
        <f t="shared" si="2"/>
        <v>-7.1725374721298332E-3</v>
      </c>
      <c r="P32" s="86">
        <v>3</v>
      </c>
      <c r="Q32" s="86">
        <v>-2.2920740835262747E-3</v>
      </c>
      <c r="R32" s="86">
        <v>-4.1221707550509901E-3</v>
      </c>
      <c r="Y32" s="37" t="str">
        <f>'Beta 1'!AA24</f>
        <v>BETA</v>
      </c>
      <c r="Z32" s="37">
        <f>Q22</f>
        <v>-6.0441020975721116E-4</v>
      </c>
      <c r="AA32" s="37" t="str">
        <f>'Beta 1'!AD24</f>
        <v>d/e</v>
      </c>
    </row>
    <row r="33" spans="2:27">
      <c r="B33" s="85">
        <v>44602</v>
      </c>
      <c r="C33" s="47">
        <v>17605.849609000001</v>
      </c>
      <c r="D33" s="8">
        <f t="shared" si="1"/>
        <v>8.1339010780827944E-3</v>
      </c>
      <c r="E33" s="41"/>
      <c r="F33" s="41"/>
      <c r="I33" s="85">
        <f t="shared" si="0"/>
        <v>44602</v>
      </c>
      <c r="J33" s="47">
        <v>26.081322</v>
      </c>
      <c r="K33" s="8">
        <f t="shared" si="2"/>
        <v>1.0266232718370042E-2</v>
      </c>
      <c r="P33" s="86">
        <v>4</v>
      </c>
      <c r="Q33" s="86">
        <v>3.0513499036419526E-5</v>
      </c>
      <c r="R33" s="86">
        <v>-1.567543906182872E-3</v>
      </c>
      <c r="Y33" s="104" t="str">
        <f>'Beta 1'!AA25</f>
        <v>R2</v>
      </c>
      <c r="Z33" s="104">
        <f>Q10</f>
        <v>2.4702329570068333E-3</v>
      </c>
      <c r="AA33" s="104">
        <f>Wacc2!K19/Wacc2!K20</f>
        <v>5.1660474297097929E-3</v>
      </c>
    </row>
    <row r="34" spans="2:27">
      <c r="B34" s="85">
        <v>44603</v>
      </c>
      <c r="C34" s="47">
        <v>17374.75</v>
      </c>
      <c r="D34" s="8">
        <f t="shared" si="1"/>
        <v>-1.3126296891793515E-2</v>
      </c>
      <c r="E34" s="41"/>
      <c r="F34" s="41"/>
      <c r="I34" s="85">
        <f t="shared" si="0"/>
        <v>44603</v>
      </c>
      <c r="J34" s="47">
        <v>26.071504999999998</v>
      </c>
      <c r="K34" s="8">
        <f t="shared" si="2"/>
        <v>-3.7639963188989195E-4</v>
      </c>
      <c r="P34" s="86">
        <v>5</v>
      </c>
      <c r="Q34" s="86">
        <v>1.2004661724157595E-3</v>
      </c>
      <c r="R34" s="86">
        <v>1.6964443967979113E-2</v>
      </c>
    </row>
    <row r="35" spans="2:27">
      <c r="B35" s="85">
        <v>44606</v>
      </c>
      <c r="C35" s="47">
        <v>16842.800781000002</v>
      </c>
      <c r="D35" s="8">
        <f t="shared" si="1"/>
        <v>-3.0616222909682054E-2</v>
      </c>
      <c r="E35" s="41"/>
      <c r="F35" s="41"/>
      <c r="I35" s="85">
        <f t="shared" si="0"/>
        <v>44606</v>
      </c>
      <c r="J35" s="47">
        <v>25.914448</v>
      </c>
      <c r="K35" s="8">
        <f t="shared" si="2"/>
        <v>-6.0240864499382842E-3</v>
      </c>
      <c r="P35" s="86">
        <v>6</v>
      </c>
      <c r="Q35" s="86">
        <v>-1.1300740661307582E-4</v>
      </c>
      <c r="R35" s="86">
        <v>3.0351932463346921E-2</v>
      </c>
    </row>
    <row r="36" spans="2:27">
      <c r="B36" s="85">
        <v>44607</v>
      </c>
      <c r="C36" s="47">
        <v>17352.449218999998</v>
      </c>
      <c r="D36" s="8">
        <f t="shared" si="1"/>
        <v>3.025912641411278E-2</v>
      </c>
      <c r="E36" s="41"/>
      <c r="F36" s="41"/>
      <c r="I36" s="85">
        <f t="shared" si="0"/>
        <v>44607</v>
      </c>
      <c r="J36" s="47">
        <v>25.227323999999999</v>
      </c>
      <c r="K36" s="8">
        <f t="shared" si="2"/>
        <v>-2.6515093047708396E-2</v>
      </c>
      <c r="P36" s="86">
        <v>7</v>
      </c>
      <c r="Q36" s="86">
        <v>8.5852765801375534E-4</v>
      </c>
      <c r="R36" s="86">
        <v>-8.1962732649319952E-3</v>
      </c>
    </row>
    <row r="37" spans="2:27">
      <c r="B37" s="85">
        <v>44608</v>
      </c>
      <c r="C37" s="47">
        <v>17322.199218999998</v>
      </c>
      <c r="D37" s="8">
        <f t="shared" si="1"/>
        <v>-1.7432697608403243E-3</v>
      </c>
      <c r="E37" s="41"/>
      <c r="F37" s="41"/>
      <c r="I37" s="85">
        <f t="shared" si="0"/>
        <v>44608</v>
      </c>
      <c r="J37" s="47">
        <v>25.963529999999999</v>
      </c>
      <c r="K37" s="8">
        <f t="shared" si="2"/>
        <v>2.9182881228306232E-2</v>
      </c>
      <c r="P37" s="86">
        <v>8</v>
      </c>
      <c r="Q37" s="86">
        <v>-1.8346085419274435E-4</v>
      </c>
      <c r="R37" s="86">
        <v>2.0881287068252534E-2</v>
      </c>
    </row>
    <row r="38" spans="2:27">
      <c r="B38" s="85">
        <v>44609</v>
      </c>
      <c r="C38" s="47">
        <v>17304.599609000001</v>
      </c>
      <c r="D38" s="8">
        <f t="shared" si="1"/>
        <v>-1.01601475525655E-3</v>
      </c>
      <c r="E38" s="41"/>
      <c r="F38" s="41"/>
      <c r="I38" s="85">
        <f t="shared" si="0"/>
        <v>44609</v>
      </c>
      <c r="J38" s="47">
        <v>25.806473</v>
      </c>
      <c r="K38" s="8">
        <f t="shared" si="2"/>
        <v>-6.0491389267945551E-3</v>
      </c>
      <c r="P38" s="86">
        <v>9</v>
      </c>
      <c r="Q38" s="86">
        <v>-6.2335638553750094E-4</v>
      </c>
      <c r="R38" s="86">
        <v>-2.1682609613387579E-2</v>
      </c>
    </row>
    <row r="39" spans="2:27">
      <c r="B39" s="85">
        <v>44610</v>
      </c>
      <c r="C39" s="47">
        <v>17276.300781000002</v>
      </c>
      <c r="D39" s="8">
        <f t="shared" si="1"/>
        <v>-1.6353356124623089E-3</v>
      </c>
      <c r="E39" s="41"/>
      <c r="F39" s="41"/>
      <c r="I39" s="85">
        <f t="shared" si="0"/>
        <v>44610</v>
      </c>
      <c r="J39" s="47">
        <v>25.364747999999999</v>
      </c>
      <c r="K39" s="8">
        <f t="shared" si="2"/>
        <v>-1.7116829564427564E-2</v>
      </c>
      <c r="P39" s="86">
        <v>10</v>
      </c>
      <c r="Q39" s="86">
        <v>-1.2072311106134419E-4</v>
      </c>
      <c r="R39" s="86">
        <v>6.3429559314997939E-3</v>
      </c>
    </row>
    <row r="40" spans="2:27">
      <c r="B40" s="85">
        <v>44613</v>
      </c>
      <c r="C40" s="47">
        <v>17206.650390999999</v>
      </c>
      <c r="D40" s="8">
        <f t="shared" si="1"/>
        <v>-4.0315569219888841E-3</v>
      </c>
      <c r="E40" s="41"/>
      <c r="F40" s="41"/>
      <c r="I40" s="85">
        <f t="shared" si="0"/>
        <v>44613</v>
      </c>
      <c r="J40" s="47">
        <v>25.168424999999999</v>
      </c>
      <c r="K40" s="8">
        <f t="shared" si="2"/>
        <v>-7.7399941052045769E-3</v>
      </c>
      <c r="P40" s="86">
        <v>11</v>
      </c>
      <c r="Q40" s="86">
        <v>-2.4014215575687546E-3</v>
      </c>
      <c r="R40" s="86">
        <v>-1.0849415697946009E-2</v>
      </c>
    </row>
    <row r="41" spans="2:27">
      <c r="B41" s="85">
        <v>44614</v>
      </c>
      <c r="C41" s="47">
        <v>17092.199218999998</v>
      </c>
      <c r="D41" s="8">
        <f t="shared" si="1"/>
        <v>-6.6515660747001083E-3</v>
      </c>
      <c r="E41" s="41"/>
      <c r="F41" s="41"/>
      <c r="I41" s="85">
        <f t="shared" si="0"/>
        <v>44614</v>
      </c>
      <c r="J41" s="47">
        <v>24.098472999999998</v>
      </c>
      <c r="K41" s="8">
        <f t="shared" si="2"/>
        <v>-4.2511678819791093E-2</v>
      </c>
      <c r="P41" s="86">
        <v>12</v>
      </c>
      <c r="Q41" s="86">
        <v>-2.2308151927657779E-3</v>
      </c>
      <c r="R41" s="86">
        <v>3.126093529051693E-3</v>
      </c>
    </row>
    <row r="42" spans="2:27">
      <c r="B42" s="85">
        <v>44615</v>
      </c>
      <c r="C42" s="47">
        <v>17063.25</v>
      </c>
      <c r="D42" s="8">
        <f t="shared" si="1"/>
        <v>-1.6937094301953718E-3</v>
      </c>
      <c r="E42" s="41"/>
      <c r="F42" s="41"/>
      <c r="I42" s="85">
        <f t="shared" si="0"/>
        <v>44615</v>
      </c>
      <c r="J42" s="47">
        <v>23.921785</v>
      </c>
      <c r="K42" s="8">
        <f t="shared" si="2"/>
        <v>-7.3319168397100775E-3</v>
      </c>
      <c r="P42" s="86">
        <v>13</v>
      </c>
      <c r="Q42" s="86">
        <v>-2.310120410108358E-3</v>
      </c>
      <c r="R42" s="86">
        <v>-8.7216678797657713E-3</v>
      </c>
    </row>
    <row r="43" spans="2:27">
      <c r="B43" s="85">
        <v>44616</v>
      </c>
      <c r="C43" s="47">
        <v>16247.950194999999</v>
      </c>
      <c r="D43" s="8">
        <f t="shared" si="1"/>
        <v>-4.778103848915069E-2</v>
      </c>
      <c r="E43" s="41"/>
      <c r="F43" s="41"/>
      <c r="I43" s="85">
        <f t="shared" si="0"/>
        <v>44616</v>
      </c>
      <c r="J43" s="47">
        <v>23.224841999999999</v>
      </c>
      <c r="K43" s="8">
        <f t="shared" si="2"/>
        <v>-2.9134238937437194E-2</v>
      </c>
      <c r="P43" s="86">
        <v>14</v>
      </c>
      <c r="Q43" s="86">
        <v>-1.9328516137534081E-3</v>
      </c>
      <c r="R43" s="86">
        <v>-4.8413756943040377E-2</v>
      </c>
    </row>
    <row r="44" spans="2:27">
      <c r="B44" s="85">
        <v>44617</v>
      </c>
      <c r="C44" s="47">
        <v>16658.400390999999</v>
      </c>
      <c r="D44" s="8">
        <f t="shared" si="1"/>
        <v>2.5261660152448528E-2</v>
      </c>
      <c r="E44" s="41"/>
      <c r="F44" s="41"/>
      <c r="I44" s="85">
        <f t="shared" si="0"/>
        <v>44617</v>
      </c>
      <c r="J44" s="47">
        <v>21.821141999999998</v>
      </c>
      <c r="K44" s="8">
        <f t="shared" si="2"/>
        <v>-6.0439593087436322E-2</v>
      </c>
      <c r="P44" s="86">
        <v>15</v>
      </c>
      <c r="Q44" s="86">
        <v>-5.0857518547042504E-3</v>
      </c>
      <c r="R44" s="86">
        <v>-1.7453879997113012E-2</v>
      </c>
    </row>
    <row r="45" spans="2:27">
      <c r="B45" s="85">
        <v>44620</v>
      </c>
      <c r="C45" s="47">
        <v>16793.900390999999</v>
      </c>
      <c r="D45" s="8">
        <f t="shared" si="1"/>
        <v>8.1340342901834867E-3</v>
      </c>
      <c r="E45" s="41"/>
      <c r="F45" s="41"/>
      <c r="I45" s="85">
        <f t="shared" si="0"/>
        <v>44620</v>
      </c>
      <c r="J45" s="47">
        <v>22.773304</v>
      </c>
      <c r="K45" s="8">
        <f t="shared" si="2"/>
        <v>4.3634838176663776E-2</v>
      </c>
      <c r="P45" s="86">
        <v>16</v>
      </c>
      <c r="Q45" s="86">
        <v>6.6292799338926723E-4</v>
      </c>
      <c r="R45" s="86">
        <v>1.0704340753624378E-2</v>
      </c>
    </row>
    <row r="46" spans="2:27">
      <c r="B46" s="85">
        <v>44622</v>
      </c>
      <c r="C46" s="47">
        <v>16605.949218999998</v>
      </c>
      <c r="D46" s="8">
        <f t="shared" si="1"/>
        <v>-1.119163313012894E-2</v>
      </c>
      <c r="E46" s="41"/>
      <c r="F46" s="41"/>
      <c r="I46" s="85">
        <f t="shared" si="0"/>
        <v>44622</v>
      </c>
      <c r="J46" s="47">
        <v>22.478819000000001</v>
      </c>
      <c r="K46" s="8">
        <f t="shared" si="2"/>
        <v>-1.2931149560028625E-2</v>
      </c>
      <c r="P46" s="86">
        <v>17</v>
      </c>
      <c r="Q46" s="86">
        <v>-2.2425368421018829E-3</v>
      </c>
      <c r="R46" s="86">
        <v>4.0457139468676212E-2</v>
      </c>
    </row>
    <row r="47" spans="2:27">
      <c r="B47" s="85">
        <v>44623</v>
      </c>
      <c r="C47" s="47">
        <v>16498.050781000002</v>
      </c>
      <c r="D47" s="8">
        <f t="shared" si="1"/>
        <v>-6.4975772584287186E-3</v>
      </c>
      <c r="E47" s="41"/>
      <c r="F47" s="41"/>
      <c r="I47" s="85">
        <f t="shared" si="0"/>
        <v>44623</v>
      </c>
      <c r="J47" s="47">
        <v>20.947512</v>
      </c>
      <c r="K47" s="8">
        <f t="shared" si="2"/>
        <v>-6.8122217630739487E-2</v>
      </c>
      <c r="P47" s="86">
        <v>18</v>
      </c>
      <c r="Q47" s="86">
        <v>-6.8525887131795681E-4</v>
      </c>
      <c r="R47" s="86">
        <v>-2.2203734688678027E-2</v>
      </c>
    </row>
    <row r="48" spans="2:27">
      <c r="B48" s="85">
        <v>44624</v>
      </c>
      <c r="C48" s="47">
        <v>16245.349609000001</v>
      </c>
      <c r="D48" s="8">
        <f t="shared" si="1"/>
        <v>-1.5317032015141119E-2</v>
      </c>
      <c r="E48" s="41"/>
      <c r="F48" s="41"/>
      <c r="I48" s="85">
        <f t="shared" si="0"/>
        <v>44624</v>
      </c>
      <c r="J48" s="47">
        <v>20.711926999999999</v>
      </c>
      <c r="K48" s="8">
        <f t="shared" si="2"/>
        <v>-1.1246443014330311E-2</v>
      </c>
      <c r="P48" s="86">
        <v>19</v>
      </c>
      <c r="Q48" s="86">
        <v>1.7419802415480283E-3</v>
      </c>
      <c r="R48" s="86">
        <v>-8.3730002232458897E-2</v>
      </c>
    </row>
    <row r="49" spans="2:18">
      <c r="B49" s="85">
        <v>44627</v>
      </c>
      <c r="C49" s="47">
        <v>15863.150390999999</v>
      </c>
      <c r="D49" s="8">
        <f t="shared" si="1"/>
        <v>-2.3526684694323931E-2</v>
      </c>
      <c r="E49" s="41"/>
      <c r="F49" s="41"/>
      <c r="I49" s="85">
        <f t="shared" si="0"/>
        <v>44627</v>
      </c>
      <c r="J49" s="47">
        <v>20.623583</v>
      </c>
      <c r="K49" s="8">
        <f t="shared" si="2"/>
        <v>-4.2653684517138029E-3</v>
      </c>
      <c r="P49" s="86">
        <v>20</v>
      </c>
      <c r="Q49" s="86">
        <v>1.7010294541693841E-3</v>
      </c>
      <c r="R49" s="86">
        <v>-1.3769933859317124E-2</v>
      </c>
    </row>
    <row r="50" spans="2:18">
      <c r="B50" s="85">
        <v>44628</v>
      </c>
      <c r="C50" s="47">
        <v>16013.450194999999</v>
      </c>
      <c r="D50" s="8">
        <f t="shared" si="1"/>
        <v>9.4747764659202389E-3</v>
      </c>
      <c r="E50" s="41"/>
      <c r="F50" s="41"/>
      <c r="I50" s="85">
        <f t="shared" si="0"/>
        <v>44628</v>
      </c>
      <c r="J50" s="47">
        <v>18.758526</v>
      </c>
      <c r="K50" s="8">
        <f t="shared" si="2"/>
        <v>-9.0433219096798079E-2</v>
      </c>
      <c r="P50" s="86">
        <v>21</v>
      </c>
      <c r="Q50" s="86">
        <v>1.3451083174974092E-3</v>
      </c>
      <c r="R50" s="86">
        <v>-1.4957706602478141E-2</v>
      </c>
    </row>
    <row r="51" spans="2:18">
      <c r="B51" s="85">
        <v>44629</v>
      </c>
      <c r="C51" s="47">
        <v>16345.349609000001</v>
      </c>
      <c r="D51" s="8">
        <f t="shared" si="1"/>
        <v>2.0726290084795894E-2</v>
      </c>
      <c r="E51" s="41"/>
      <c r="F51" s="41"/>
      <c r="I51" s="85">
        <f t="shared" si="0"/>
        <v>44629</v>
      </c>
      <c r="J51" s="47">
        <v>17.683665999999999</v>
      </c>
      <c r="K51" s="8">
        <f t="shared" si="2"/>
        <v>-5.729981129647399E-2</v>
      </c>
      <c r="P51" s="86">
        <v>22</v>
      </c>
      <c r="Q51" s="86">
        <v>-2.6896126080218604E-3</v>
      </c>
      <c r="R51" s="86">
        <v>2.4628753865569813E-2</v>
      </c>
    </row>
    <row r="52" spans="2:18">
      <c r="B52" s="85">
        <v>44630</v>
      </c>
      <c r="C52" s="47">
        <v>16594.900390999999</v>
      </c>
      <c r="D52" s="8">
        <f t="shared" si="1"/>
        <v>1.526738723670933E-2</v>
      </c>
      <c r="E52" s="41"/>
      <c r="F52" s="41"/>
      <c r="I52" s="85">
        <f t="shared" si="0"/>
        <v>44630</v>
      </c>
      <c r="J52" s="47">
        <v>18.567114</v>
      </c>
      <c r="K52" s="8">
        <f t="shared" si="2"/>
        <v>4.9958419255373934E-2</v>
      </c>
      <c r="P52" s="86">
        <v>23</v>
      </c>
      <c r="Q52" s="86">
        <v>-1.0260779435888742E-3</v>
      </c>
      <c r="R52" s="86">
        <v>-1.2131817257395637E-2</v>
      </c>
    </row>
    <row r="53" spans="2:18">
      <c r="B53" s="85">
        <v>44631</v>
      </c>
      <c r="C53" s="47">
        <v>16630.449218999998</v>
      </c>
      <c r="D53" s="8">
        <f t="shared" si="1"/>
        <v>2.142153743765671E-3</v>
      </c>
      <c r="E53" s="41"/>
      <c r="F53" s="41"/>
      <c r="I53" s="85">
        <f t="shared" si="0"/>
        <v>44631</v>
      </c>
      <c r="J53" s="47">
        <v>20.299651999999998</v>
      </c>
      <c r="K53" s="8">
        <f t="shared" si="2"/>
        <v>9.3312186266535452E-2</v>
      </c>
      <c r="P53" s="86">
        <v>24</v>
      </c>
      <c r="Q53" s="86">
        <v>-3.5193020839200382E-3</v>
      </c>
      <c r="R53" s="86">
        <v>-4.5954379191741342E-2</v>
      </c>
    </row>
    <row r="54" spans="2:18">
      <c r="B54" s="85">
        <v>44634</v>
      </c>
      <c r="C54" s="47">
        <v>16871.300781000002</v>
      </c>
      <c r="D54" s="8">
        <f t="shared" si="1"/>
        <v>1.4482565012425206E-2</v>
      </c>
      <c r="E54" s="41"/>
      <c r="F54" s="41"/>
      <c r="I54" s="85">
        <f t="shared" si="0"/>
        <v>44634</v>
      </c>
      <c r="J54" s="47">
        <v>19.043192000000001</v>
      </c>
      <c r="K54" s="8">
        <f t="shared" si="2"/>
        <v>-6.1895642348942591E-2</v>
      </c>
      <c r="P54" s="86">
        <v>25</v>
      </c>
      <c r="Q54" s="86">
        <v>-8.3592782464240165E-5</v>
      </c>
      <c r="R54" s="86">
        <v>-2.206481207848578E-2</v>
      </c>
    </row>
    <row r="55" spans="2:18">
      <c r="B55" s="85">
        <v>44635</v>
      </c>
      <c r="C55" s="47">
        <v>16663</v>
      </c>
      <c r="D55" s="8">
        <f t="shared" si="1"/>
        <v>-1.2346456488677174E-2</v>
      </c>
      <c r="E55" s="41"/>
      <c r="F55" s="41"/>
      <c r="I55" s="85">
        <f t="shared" si="0"/>
        <v>44635</v>
      </c>
      <c r="J55" s="47">
        <v>19.435835000000001</v>
      </c>
      <c r="K55" s="8">
        <f t="shared" si="2"/>
        <v>2.0618549663312728E-2</v>
      </c>
      <c r="P55" s="86">
        <v>26</v>
      </c>
      <c r="Q55" s="86">
        <v>1.3205346810805075E-3</v>
      </c>
      <c r="R55" s="86">
        <v>-8.4930721532103411E-3</v>
      </c>
    </row>
    <row r="56" spans="2:18">
      <c r="B56" s="85">
        <v>44636</v>
      </c>
      <c r="C56" s="47">
        <v>16975.349609000001</v>
      </c>
      <c r="D56" s="8">
        <f t="shared" si="1"/>
        <v>1.8745100462101708E-2</v>
      </c>
      <c r="E56" s="41"/>
      <c r="F56" s="41"/>
      <c r="I56" s="85">
        <f t="shared" si="0"/>
        <v>44636</v>
      </c>
      <c r="J56" s="47">
        <v>20.446891999999998</v>
      </c>
      <c r="K56" s="8">
        <f t="shared" si="2"/>
        <v>5.2020250223363047E-2</v>
      </c>
      <c r="P56" s="86">
        <v>27</v>
      </c>
      <c r="Q56" s="86">
        <v>7.6757562512033207E-4</v>
      </c>
      <c r="R56" s="86">
        <v>9.4986570932497107E-3</v>
      </c>
    </row>
    <row r="57" spans="2:18">
      <c r="B57" s="85">
        <v>44637</v>
      </c>
      <c r="C57" s="47">
        <v>17287.050781000002</v>
      </c>
      <c r="D57" s="8">
        <f t="shared" si="1"/>
        <v>1.8361988364277521E-2</v>
      </c>
      <c r="E57" s="41"/>
      <c r="F57" s="41"/>
      <c r="I57" s="85">
        <f t="shared" si="0"/>
        <v>44637</v>
      </c>
      <c r="J57" s="47">
        <v>19.720503000000001</v>
      </c>
      <c r="K57" s="8">
        <f t="shared" si="2"/>
        <v>-3.5525643701741938E-2</v>
      </c>
      <c r="P57" s="86">
        <v>28</v>
      </c>
      <c r="Q57" s="86">
        <v>-2.8184884518032368E-3</v>
      </c>
      <c r="R57" s="86">
        <v>2.4420888199133449E-3</v>
      </c>
    </row>
    <row r="58" spans="2:18">
      <c r="B58" s="85">
        <v>44641</v>
      </c>
      <c r="C58" s="47">
        <v>17117.599609000001</v>
      </c>
      <c r="D58" s="8">
        <f t="shared" si="1"/>
        <v>-9.8022024778363463E-3</v>
      </c>
      <c r="E58" s="41"/>
      <c r="F58" s="41"/>
      <c r="I58" s="85">
        <f t="shared" si="0"/>
        <v>44641</v>
      </c>
      <c r="J58" s="47">
        <v>21.192914999999999</v>
      </c>
      <c r="K58" s="8">
        <f t="shared" si="2"/>
        <v>7.4664018458352632E-2</v>
      </c>
      <c r="P58" s="86">
        <v>29</v>
      </c>
      <c r="Q58" s="86">
        <v>-5.7686018745319095E-3</v>
      </c>
      <c r="R58" s="86">
        <v>-2.5548457540637472E-4</v>
      </c>
    </row>
    <row r="59" spans="2:18">
      <c r="B59" s="85">
        <v>44642</v>
      </c>
      <c r="C59" s="47">
        <v>17315.5</v>
      </c>
      <c r="D59" s="8">
        <f t="shared" si="1"/>
        <v>1.1561223274316348E-2</v>
      </c>
      <c r="E59" s="41"/>
      <c r="F59" s="41"/>
      <c r="I59" s="85">
        <f t="shared" si="0"/>
        <v>44642</v>
      </c>
      <c r="J59" s="47">
        <v>20.594131000000001</v>
      </c>
      <c r="K59" s="8">
        <f t="shared" si="2"/>
        <v>-2.8253970725593835E-2</v>
      </c>
      <c r="P59" s="86">
        <v>30</v>
      </c>
      <c r="Q59" s="86">
        <v>4.4995482005308297E-3</v>
      </c>
      <c r="R59" s="86">
        <v>-3.1014641248239227E-2</v>
      </c>
    </row>
    <row r="60" spans="2:18">
      <c r="B60" s="85">
        <v>44643</v>
      </c>
      <c r="C60" s="47">
        <v>17245.650390999999</v>
      </c>
      <c r="D60" s="8">
        <f t="shared" si="1"/>
        <v>-4.0339354335711232E-3</v>
      </c>
      <c r="E60" s="41"/>
      <c r="F60" s="41"/>
      <c r="I60" s="85">
        <f t="shared" si="0"/>
        <v>44643</v>
      </c>
      <c r="J60" s="47">
        <v>21.232178000000001</v>
      </c>
      <c r="K60" s="8">
        <f t="shared" si="2"/>
        <v>3.0981982196772478E-2</v>
      </c>
      <c r="P60" s="86">
        <v>31</v>
      </c>
      <c r="Q60" s="86">
        <v>-8.9845625178346035E-4</v>
      </c>
      <c r="R60" s="86">
        <v>3.0081337480089693E-2</v>
      </c>
    </row>
    <row r="61" spans="2:18">
      <c r="B61" s="85">
        <v>44644</v>
      </c>
      <c r="C61" s="47">
        <v>17222.75</v>
      </c>
      <c r="D61" s="8">
        <f t="shared" si="1"/>
        <v>-1.3278937286094041E-3</v>
      </c>
      <c r="E61" s="41"/>
      <c r="F61" s="41"/>
      <c r="I61" s="85">
        <f t="shared" si="0"/>
        <v>44644</v>
      </c>
      <c r="J61" s="47">
        <v>21.359787000000001</v>
      </c>
      <c r="K61" s="8">
        <f t="shared" si="2"/>
        <v>6.0101700353114799E-3</v>
      </c>
      <c r="P61" s="86">
        <v>32</v>
      </c>
      <c r="Q61" s="86">
        <v>-7.7578650741033238E-4</v>
      </c>
      <c r="R61" s="86">
        <v>-5.2733524193842229E-3</v>
      </c>
    </row>
    <row r="62" spans="2:18">
      <c r="B62" s="85">
        <v>44645</v>
      </c>
      <c r="C62" s="47">
        <v>17153</v>
      </c>
      <c r="D62" s="8">
        <f t="shared" si="1"/>
        <v>-4.0498758909001172E-3</v>
      </c>
      <c r="E62" s="41"/>
      <c r="F62" s="41"/>
      <c r="I62" s="85">
        <f t="shared" si="0"/>
        <v>44645</v>
      </c>
      <c r="J62" s="47">
        <v>21.477581000000001</v>
      </c>
      <c r="K62" s="8">
        <f t="shared" si="2"/>
        <v>5.5147553671766464E-3</v>
      </c>
      <c r="P62" s="86">
        <v>33</v>
      </c>
      <c r="Q62" s="86">
        <v>-8.8025045836986351E-4</v>
      </c>
      <c r="R62" s="86">
        <v>-1.6236579106057702E-2</v>
      </c>
    </row>
    <row r="63" spans="2:18">
      <c r="B63" s="85">
        <v>44648</v>
      </c>
      <c r="C63" s="47">
        <v>17222</v>
      </c>
      <c r="D63" s="8">
        <f t="shared" si="1"/>
        <v>4.022619949862998E-3</v>
      </c>
      <c r="E63" s="41"/>
      <c r="F63" s="41"/>
      <c r="I63" s="85">
        <f t="shared" si="0"/>
        <v>44648</v>
      </c>
      <c r="J63" s="47">
        <v>21.477581000000001</v>
      </c>
      <c r="K63" s="8">
        <f t="shared" si="2"/>
        <v>0</v>
      </c>
      <c r="P63" s="86">
        <v>34</v>
      </c>
      <c r="Q63" s="86">
        <v>-1.2844331085327394E-3</v>
      </c>
      <c r="R63" s="86">
        <v>-6.4555609966718379E-3</v>
      </c>
    </row>
    <row r="64" spans="2:18">
      <c r="B64" s="85">
        <v>44649</v>
      </c>
      <c r="C64" s="47">
        <v>17325.300781000002</v>
      </c>
      <c r="D64" s="8">
        <f t="shared" si="1"/>
        <v>5.9981872604808811E-3</v>
      </c>
      <c r="E64" s="41"/>
      <c r="F64" s="41"/>
      <c r="I64" s="85">
        <f t="shared" si="0"/>
        <v>44649</v>
      </c>
      <c r="J64" s="47">
        <v>21.379421000000001</v>
      </c>
      <c r="K64" s="8">
        <f t="shared" si="2"/>
        <v>-4.5703470982137147E-3</v>
      </c>
      <c r="P64" s="86">
        <v>35</v>
      </c>
      <c r="Q64" s="86">
        <v>-1.7263631750853298E-3</v>
      </c>
      <c r="R64" s="86">
        <v>-4.0785315644705764E-2</v>
      </c>
    </row>
    <row r="65" spans="2:18">
      <c r="B65" s="85">
        <v>44650</v>
      </c>
      <c r="C65" s="47">
        <v>17498.25</v>
      </c>
      <c r="D65" s="8">
        <f t="shared" si="1"/>
        <v>9.9824655967684604E-3</v>
      </c>
      <c r="E65" s="41"/>
      <c r="F65" s="41"/>
      <c r="I65" s="85">
        <f t="shared" si="0"/>
        <v>44650</v>
      </c>
      <c r="J65" s="47">
        <v>20.682476000000001</v>
      </c>
      <c r="K65" s="8">
        <f t="shared" si="2"/>
        <v>-3.2598871597130694E-2</v>
      </c>
      <c r="P65" s="86">
        <v>36</v>
      </c>
      <c r="Q65" s="86">
        <v>-8.9009666258216789E-4</v>
      </c>
      <c r="R65" s="86">
        <v>-6.4418201771279096E-3</v>
      </c>
    </row>
    <row r="66" spans="2:18">
      <c r="B66" s="85">
        <v>44651</v>
      </c>
      <c r="C66" s="47">
        <v>17464.75</v>
      </c>
      <c r="D66" s="8">
        <f t="shared" si="1"/>
        <v>-1.9144771620019144E-3</v>
      </c>
      <c r="E66" s="41"/>
      <c r="F66" s="41"/>
      <c r="I66" s="85">
        <f t="shared" si="0"/>
        <v>44651</v>
      </c>
      <c r="J66" s="47">
        <v>20.329097999999998</v>
      </c>
      <c r="K66" s="8">
        <f t="shared" si="2"/>
        <v>-1.7085865348036803E-2</v>
      </c>
      <c r="P66" s="86">
        <v>37</v>
      </c>
      <c r="Q66" s="86">
        <v>-8.6638772912409571E-3</v>
      </c>
      <c r="R66" s="86">
        <v>-2.0470361646196235E-2</v>
      </c>
    </row>
    <row r="67" spans="2:18">
      <c r="B67" s="85">
        <v>44652</v>
      </c>
      <c r="C67" s="47">
        <v>17670.449218999998</v>
      </c>
      <c r="D67" s="8">
        <f t="shared" si="1"/>
        <v>1.1777965272906756E-2</v>
      </c>
      <c r="E67" s="41"/>
      <c r="F67" s="41"/>
      <c r="I67" s="85">
        <f t="shared" si="0"/>
        <v>44652</v>
      </c>
      <c r="J67" s="47">
        <v>22.017464</v>
      </c>
      <c r="K67" s="8">
        <f t="shared" si="2"/>
        <v>8.3051692701761881E-2</v>
      </c>
      <c r="P67" s="86">
        <v>38</v>
      </c>
      <c r="Q67" s="86">
        <v>3.6566005355098182E-3</v>
      </c>
      <c r="R67" s="86">
        <v>-6.4096193622946135E-2</v>
      </c>
    </row>
    <row r="68" spans="2:18">
      <c r="B68" s="85">
        <v>44655</v>
      </c>
      <c r="C68" s="47">
        <v>18053.400390999999</v>
      </c>
      <c r="D68" s="8">
        <f t="shared" si="1"/>
        <v>2.1671841346751729E-2</v>
      </c>
      <c r="E68" s="41"/>
      <c r="F68" s="41"/>
      <c r="I68" s="85">
        <f t="shared" si="0"/>
        <v>44655</v>
      </c>
      <c r="J68" s="47">
        <v>21.418683999999999</v>
      </c>
      <c r="K68" s="8">
        <f t="shared" si="2"/>
        <v>-2.7195684298609569E-2</v>
      </c>
      <c r="P68" s="86">
        <v>39</v>
      </c>
      <c r="Q68" s="86">
        <v>7.6759809467257152E-4</v>
      </c>
      <c r="R68" s="86">
        <v>4.2867240081991206E-2</v>
      </c>
    </row>
    <row r="69" spans="2:18">
      <c r="B69" s="85">
        <v>44656</v>
      </c>
      <c r="C69" s="47">
        <v>17957.400390999999</v>
      </c>
      <c r="D69" s="8">
        <f t="shared" si="1"/>
        <v>-5.3175577963616221E-3</v>
      </c>
      <c r="E69" s="41"/>
      <c r="F69" s="41"/>
      <c r="I69" s="85">
        <f t="shared" si="0"/>
        <v>44656</v>
      </c>
      <c r="J69" s="47">
        <v>20.878799000000001</v>
      </c>
      <c r="K69" s="8">
        <f t="shared" si="2"/>
        <v>-2.5206263839552337E-2</v>
      </c>
      <c r="P69" s="86">
        <v>40</v>
      </c>
      <c r="Q69" s="86">
        <v>-2.4921590250283122E-3</v>
      </c>
      <c r="R69" s="86">
        <v>-1.0438990535000314E-2</v>
      </c>
    </row>
    <row r="70" spans="2:18">
      <c r="B70" s="85">
        <v>44657</v>
      </c>
      <c r="C70" s="47">
        <v>17807.650390999999</v>
      </c>
      <c r="D70" s="8">
        <f t="shared" si="1"/>
        <v>-8.3391803233976245E-3</v>
      </c>
      <c r="E70" s="41"/>
      <c r="F70" s="41"/>
      <c r="I70" s="85">
        <f t="shared" si="0"/>
        <v>44657</v>
      </c>
      <c r="J70" s="47">
        <v>20.702110000000001</v>
      </c>
      <c r="K70" s="8">
        <f t="shared" si="2"/>
        <v>-8.4626036200645283E-3</v>
      </c>
      <c r="P70" s="86">
        <v>41</v>
      </c>
      <c r="Q70" s="86">
        <v>-1.7003891101654615E-3</v>
      </c>
      <c r="R70" s="86">
        <v>-6.6421828520574031E-2</v>
      </c>
    </row>
    <row r="71" spans="2:18">
      <c r="B71" s="85">
        <v>44658</v>
      </c>
      <c r="C71" s="47">
        <v>17639.550781000002</v>
      </c>
      <c r="D71" s="8">
        <f t="shared" si="1"/>
        <v>-9.4397411398504973E-3</v>
      </c>
      <c r="E71" s="41"/>
      <c r="F71" s="41"/>
      <c r="I71" s="85">
        <f t="shared" ref="I71:I134" si="3">B71</f>
        <v>44658</v>
      </c>
      <c r="J71" s="47">
        <v>21.153648</v>
      </c>
      <c r="K71" s="8">
        <f t="shared" si="2"/>
        <v>2.1811206683763119E-2</v>
      </c>
      <c r="P71" s="86">
        <v>42</v>
      </c>
      <c r="Q71" s="86">
        <v>-3.1880107177305315E-3</v>
      </c>
      <c r="R71" s="86">
        <v>-8.0584322965997802E-3</v>
      </c>
    </row>
    <row r="72" spans="2:18">
      <c r="B72" s="85">
        <v>44659</v>
      </c>
      <c r="C72" s="47">
        <v>17784.349609000001</v>
      </c>
      <c r="D72" s="8">
        <f t="shared" ref="D72:D135" si="4">(C72-C71)/C71</f>
        <v>8.2087593838254345E-3</v>
      </c>
      <c r="E72" s="41"/>
      <c r="F72" s="41"/>
      <c r="I72" s="85">
        <f t="shared" si="3"/>
        <v>44659</v>
      </c>
      <c r="J72" s="47">
        <v>20.407627000000002</v>
      </c>
      <c r="K72" s="8">
        <f t="shared" ref="K72:K135" si="5">(J72-J71)/J71</f>
        <v>-3.526677762625146E-2</v>
      </c>
      <c r="P72" s="86">
        <v>43</v>
      </c>
      <c r="Q72" s="86">
        <v>-4.5727739545804889E-3</v>
      </c>
      <c r="R72" s="86">
        <v>3.0740550286668597E-4</v>
      </c>
    </row>
    <row r="73" spans="2:18">
      <c r="B73" s="85">
        <v>44662</v>
      </c>
      <c r="C73" s="47">
        <v>17674.949218999998</v>
      </c>
      <c r="D73" s="8">
        <f t="shared" si="4"/>
        <v>-6.1514979408996227E-3</v>
      </c>
      <c r="E73" s="41"/>
      <c r="F73" s="41"/>
      <c r="I73" s="85">
        <f t="shared" si="3"/>
        <v>44662</v>
      </c>
      <c r="J73" s="47">
        <v>19.867743999999998</v>
      </c>
      <c r="K73" s="8">
        <f t="shared" si="5"/>
        <v>-2.6454962157040757E-2</v>
      </c>
      <c r="P73" s="86">
        <v>44</v>
      </c>
      <c r="Q73" s="86">
        <v>9.9374779279101698E-4</v>
      </c>
      <c r="R73" s="86">
        <v>-9.1426966889589095E-2</v>
      </c>
    </row>
    <row r="74" spans="2:18">
      <c r="B74" s="85">
        <v>44663</v>
      </c>
      <c r="C74" s="47">
        <v>17530.300781000002</v>
      </c>
      <c r="D74" s="8">
        <f t="shared" si="4"/>
        <v>-8.1838106694249596E-3</v>
      </c>
      <c r="E74" s="41"/>
      <c r="F74" s="41"/>
      <c r="I74" s="85">
        <f t="shared" si="3"/>
        <v>44663</v>
      </c>
      <c r="J74" s="47">
        <v>19.337675000000001</v>
      </c>
      <c r="K74" s="8">
        <f t="shared" si="5"/>
        <v>-2.6679878701879666E-2</v>
      </c>
      <c r="P74" s="86">
        <v>45</v>
      </c>
      <c r="Q74" s="86">
        <v>2.8915969500207146E-3</v>
      </c>
      <c r="R74" s="86">
        <v>-6.0191408246494701E-2</v>
      </c>
    </row>
    <row r="75" spans="2:18">
      <c r="B75" s="85">
        <v>44664</v>
      </c>
      <c r="C75" s="47">
        <v>17475.650390999999</v>
      </c>
      <c r="D75" s="8">
        <f t="shared" si="4"/>
        <v>-3.1174815927422455E-3</v>
      </c>
      <c r="E75" s="41"/>
      <c r="F75" s="41"/>
      <c r="I75" s="85">
        <f t="shared" si="3"/>
        <v>44664</v>
      </c>
      <c r="J75" s="47">
        <v>20.387996999999999</v>
      </c>
      <c r="K75" s="8">
        <f t="shared" si="5"/>
        <v>5.4314802580972002E-2</v>
      </c>
      <c r="P75" s="86">
        <v>46</v>
      </c>
      <c r="Q75" s="86">
        <v>1.9708164647836398E-3</v>
      </c>
      <c r="R75" s="86">
        <v>4.7987602790590292E-2</v>
      </c>
    </row>
    <row r="76" spans="2:18">
      <c r="B76" s="85">
        <v>44669</v>
      </c>
      <c r="C76" s="47">
        <v>17173.650390999999</v>
      </c>
      <c r="D76" s="8">
        <f t="shared" si="4"/>
        <v>-1.7281188009776776E-2</v>
      </c>
      <c r="E76" s="41"/>
      <c r="F76" s="41"/>
      <c r="I76" s="85">
        <f t="shared" si="3"/>
        <v>44669</v>
      </c>
      <c r="J76" s="47">
        <v>20.230937999999998</v>
      </c>
      <c r="K76" s="8">
        <f t="shared" si="5"/>
        <v>-7.7035031935702315E-3</v>
      </c>
      <c r="P76" s="86">
        <v>47</v>
      </c>
      <c r="Q76" s="86">
        <v>-2.4308240845216525E-4</v>
      </c>
      <c r="R76" s="86">
        <v>9.3555268674987618E-2</v>
      </c>
    </row>
    <row r="77" spans="2:18">
      <c r="B77" s="85">
        <v>44670</v>
      </c>
      <c r="C77" s="47">
        <v>16958.650390999999</v>
      </c>
      <c r="D77" s="8">
        <f t="shared" si="4"/>
        <v>-1.2519178806194436E-2</v>
      </c>
      <c r="E77" s="41"/>
      <c r="F77" s="41"/>
      <c r="I77" s="85">
        <f t="shared" si="3"/>
        <v>44670</v>
      </c>
      <c r="J77" s="47">
        <v>20.338915</v>
      </c>
      <c r="K77" s="8">
        <f t="shared" si="5"/>
        <v>5.3372216354971667E-3</v>
      </c>
      <c r="P77" s="86">
        <v>48</v>
      </c>
      <c r="Q77" s="86">
        <v>1.8384365692970446E-3</v>
      </c>
      <c r="R77" s="86">
        <v>-6.3734078918239637E-2</v>
      </c>
    </row>
    <row r="78" spans="2:18">
      <c r="B78" s="85">
        <v>44671</v>
      </c>
      <c r="C78" s="47">
        <v>17136.550781000002</v>
      </c>
      <c r="D78" s="8">
        <f t="shared" si="4"/>
        <v>1.0490244559461803E-2</v>
      </c>
      <c r="E78" s="41"/>
      <c r="F78" s="41"/>
      <c r="I78" s="85">
        <f t="shared" si="3"/>
        <v>44671</v>
      </c>
      <c r="J78" s="47">
        <v>20.594131000000001</v>
      </c>
      <c r="K78" s="8">
        <f t="shared" si="5"/>
        <v>1.2548161984058677E-2</v>
      </c>
      <c r="P78" s="86">
        <v>49</v>
      </c>
      <c r="Q78" s="86">
        <v>-2.6869488650453168E-3</v>
      </c>
      <c r="R78" s="86">
        <v>2.3305498528358046E-2</v>
      </c>
    </row>
    <row r="79" spans="2:18">
      <c r="B79" s="85">
        <v>44672</v>
      </c>
      <c r="C79" s="47">
        <v>17392.599609000001</v>
      </c>
      <c r="D79" s="8">
        <f t="shared" si="4"/>
        <v>1.494167824506965E-2</v>
      </c>
      <c r="E79" s="41"/>
      <c r="F79" s="41"/>
      <c r="I79" s="85">
        <f t="shared" si="3"/>
        <v>44672</v>
      </c>
      <c r="J79" s="47">
        <v>20.839535000000001</v>
      </c>
      <c r="K79" s="8">
        <f t="shared" si="5"/>
        <v>1.1916210497058634E-2</v>
      </c>
      <c r="P79" s="86">
        <v>50</v>
      </c>
      <c r="Q79" s="86">
        <v>2.5574197732331785E-3</v>
      </c>
      <c r="R79" s="86">
        <v>4.946283045012987E-2</v>
      </c>
    </row>
    <row r="80" spans="2:18">
      <c r="B80" s="85">
        <v>44673</v>
      </c>
      <c r="C80" s="47">
        <v>17171.949218999998</v>
      </c>
      <c r="D80" s="8">
        <f t="shared" si="4"/>
        <v>-1.2686452569506885E-2</v>
      </c>
      <c r="E80" s="41"/>
      <c r="F80" s="41"/>
      <c r="I80" s="85">
        <f t="shared" si="3"/>
        <v>44673</v>
      </c>
      <c r="J80" s="47">
        <v>21.134018000000001</v>
      </c>
      <c r="K80" s="8">
        <f t="shared" si="5"/>
        <v>1.4130977490620571E-2</v>
      </c>
      <c r="P80" s="86">
        <v>51</v>
      </c>
      <c r="Q80" s="86">
        <v>2.4927983368105834E-3</v>
      </c>
      <c r="R80" s="86">
        <v>-3.8018442038552522E-2</v>
      </c>
    </row>
    <row r="81" spans="2:18">
      <c r="B81" s="85">
        <v>44676</v>
      </c>
      <c r="C81" s="47">
        <v>16953.949218999998</v>
      </c>
      <c r="D81" s="8">
        <f t="shared" si="4"/>
        <v>-1.2695122564117107E-2</v>
      </c>
      <c r="E81" s="41"/>
      <c r="F81" s="41"/>
      <c r="I81" s="85">
        <f t="shared" si="3"/>
        <v>44676</v>
      </c>
      <c r="J81" s="47">
        <v>20.918061999999999</v>
      </c>
      <c r="K81" s="8">
        <f t="shared" si="5"/>
        <v>-1.0218407119744198E-2</v>
      </c>
      <c r="P81" s="86">
        <v>52</v>
      </c>
      <c r="Q81" s="86">
        <v>-2.2577967977046153E-3</v>
      </c>
      <c r="R81" s="86">
        <v>7.6921815256057249E-2</v>
      </c>
    </row>
    <row r="82" spans="2:18">
      <c r="B82" s="85">
        <v>44677</v>
      </c>
      <c r="C82" s="47">
        <v>17200.800781000002</v>
      </c>
      <c r="D82" s="8">
        <f t="shared" si="4"/>
        <v>1.4560121586500989E-2</v>
      </c>
      <c r="E82" s="41"/>
      <c r="F82" s="41"/>
      <c r="I82" s="85">
        <f t="shared" si="3"/>
        <v>44677</v>
      </c>
      <c r="J82" s="47">
        <v>21.595372999999999</v>
      </c>
      <c r="K82" s="8">
        <f t="shared" si="5"/>
        <v>3.2379242398268039E-2</v>
      </c>
      <c r="P82" s="86">
        <v>53</v>
      </c>
      <c r="Q82" s="86">
        <v>1.3456792262895477E-3</v>
      </c>
      <c r="R82" s="86">
        <v>-2.9599649951883383E-2</v>
      </c>
    </row>
    <row r="83" spans="2:18">
      <c r="B83" s="85">
        <v>44678</v>
      </c>
      <c r="C83" s="47">
        <v>17038.400390999999</v>
      </c>
      <c r="D83" s="8">
        <f t="shared" si="4"/>
        <v>-9.4414435739172062E-3</v>
      </c>
      <c r="E83" s="41"/>
      <c r="F83" s="41"/>
      <c r="I83" s="85">
        <f t="shared" si="3"/>
        <v>44678</v>
      </c>
      <c r="J83" s="47">
        <v>21.379421000000001</v>
      </c>
      <c r="K83" s="8">
        <f t="shared" si="5"/>
        <v>-9.9999198902467647E-3</v>
      </c>
      <c r="P83" s="86">
        <v>54</v>
      </c>
      <c r="Q83" s="86">
        <v>-1.2848343039944987E-3</v>
      </c>
      <c r="R83" s="86">
        <v>3.226681650076698E-2</v>
      </c>
    </row>
    <row r="84" spans="2:18">
      <c r="B84" s="85">
        <v>44679</v>
      </c>
      <c r="C84" s="47">
        <v>17245.050781000002</v>
      </c>
      <c r="D84" s="8">
        <f t="shared" si="4"/>
        <v>1.2128508853986029E-2</v>
      </c>
      <c r="E84" s="41"/>
      <c r="F84" s="41"/>
      <c r="I84" s="85">
        <f t="shared" si="3"/>
        <v>44679</v>
      </c>
      <c r="J84" s="47">
        <v>21.457948999999999</v>
      </c>
      <c r="K84" s="8">
        <f t="shared" si="5"/>
        <v>3.6730648598948773E-3</v>
      </c>
      <c r="P84" s="86">
        <v>55</v>
      </c>
      <c r="Q84" s="86">
        <v>-8.2839269594503777E-4</v>
      </c>
      <c r="R84" s="86">
        <v>6.8385627312565174E-3</v>
      </c>
    </row>
    <row r="85" spans="2:18">
      <c r="B85" s="85">
        <v>44680</v>
      </c>
      <c r="C85" s="47">
        <v>17102.550781000002</v>
      </c>
      <c r="D85" s="8">
        <f t="shared" si="4"/>
        <v>-8.2632403818144479E-3</v>
      </c>
      <c r="E85" s="41"/>
      <c r="F85" s="41"/>
      <c r="I85" s="85">
        <f t="shared" si="3"/>
        <v>44680</v>
      </c>
      <c r="J85" s="47">
        <v>20.191673000000002</v>
      </c>
      <c r="K85" s="8">
        <f t="shared" si="5"/>
        <v>-5.9011977332968674E-2</v>
      </c>
      <c r="P85" s="86">
        <v>56</v>
      </c>
      <c r="Q85" s="86">
        <v>-1.2875230607726921E-3</v>
      </c>
      <c r="R85" s="86">
        <v>6.8022784279493384E-3</v>
      </c>
    </row>
    <row r="86" spans="2:18">
      <c r="B86" s="85">
        <v>44683</v>
      </c>
      <c r="C86" s="47">
        <v>17069.099609000001</v>
      </c>
      <c r="D86" s="8">
        <f t="shared" si="4"/>
        <v>-1.9559171277049136E-3</v>
      </c>
      <c r="E86" s="41"/>
      <c r="F86" s="41"/>
      <c r="I86" s="85">
        <f t="shared" si="3"/>
        <v>44683</v>
      </c>
      <c r="J86" s="47">
        <v>20.122961</v>
      </c>
      <c r="K86" s="8">
        <f t="shared" si="5"/>
        <v>-3.402986963982699E-3</v>
      </c>
      <c r="P86" s="86">
        <v>57</v>
      </c>
      <c r="Q86" s="86">
        <v>7.4105245167487748E-5</v>
      </c>
      <c r="R86" s="86">
        <v>-7.4105245167487748E-5</v>
      </c>
    </row>
    <row r="87" spans="2:18">
      <c r="B87" s="85">
        <v>44685</v>
      </c>
      <c r="C87" s="47">
        <v>16677.599609000001</v>
      </c>
      <c r="D87" s="8">
        <f t="shared" si="4"/>
        <v>-2.293618345244024E-2</v>
      </c>
      <c r="E87" s="41"/>
      <c r="F87" s="41"/>
      <c r="I87" s="85">
        <f t="shared" si="3"/>
        <v>44685</v>
      </c>
      <c r="J87" s="47">
        <v>20.49597</v>
      </c>
      <c r="K87" s="8">
        <f t="shared" si="5"/>
        <v>1.8536486752620537E-2</v>
      </c>
      <c r="P87" s="86">
        <v>58</v>
      </c>
      <c r="Q87" s="86">
        <v>4.073340784168008E-4</v>
      </c>
      <c r="R87" s="86">
        <v>-4.9776811766305152E-3</v>
      </c>
    </row>
    <row r="88" spans="2:18">
      <c r="B88" s="85">
        <v>44686</v>
      </c>
      <c r="C88" s="47">
        <v>16682.650390999999</v>
      </c>
      <c r="D88" s="8">
        <f t="shared" si="4"/>
        <v>3.0284825864705374E-4</v>
      </c>
      <c r="E88" s="41"/>
      <c r="F88" s="41"/>
      <c r="I88" s="85">
        <f t="shared" si="3"/>
        <v>44686</v>
      </c>
      <c r="J88" s="47">
        <v>20.731558</v>
      </c>
      <c r="K88" s="8">
        <f t="shared" si="5"/>
        <v>1.1494357183387755E-2</v>
      </c>
      <c r="P88" s="86">
        <v>59</v>
      </c>
      <c r="Q88" s="86">
        <v>1.0793822613391923E-3</v>
      </c>
      <c r="R88" s="86">
        <v>-3.3678253858469884E-2</v>
      </c>
    </row>
    <row r="89" spans="2:18">
      <c r="B89" s="85">
        <v>44687</v>
      </c>
      <c r="C89" s="47">
        <v>16411.25</v>
      </c>
      <c r="D89" s="8">
        <f t="shared" si="4"/>
        <v>-1.6268421661968954E-2</v>
      </c>
      <c r="E89" s="41"/>
      <c r="F89" s="41"/>
      <c r="I89" s="85">
        <f t="shared" si="3"/>
        <v>44687</v>
      </c>
      <c r="J89" s="47">
        <v>20.623583</v>
      </c>
      <c r="K89" s="8">
        <f t="shared" si="5"/>
        <v>-5.2082433939600542E-3</v>
      </c>
      <c r="P89" s="86">
        <v>60</v>
      </c>
      <c r="Q89" s="86">
        <v>-9.2733466165899141E-4</v>
      </c>
      <c r="R89" s="86">
        <v>-1.6158530686377813E-2</v>
      </c>
    </row>
    <row r="90" spans="2:18">
      <c r="B90" s="85">
        <v>44690</v>
      </c>
      <c r="C90" s="47">
        <v>16301.849609000001</v>
      </c>
      <c r="D90" s="8">
        <f t="shared" si="4"/>
        <v>-6.6661827100311811E-3</v>
      </c>
      <c r="E90" s="41"/>
      <c r="F90" s="41"/>
      <c r="I90" s="85">
        <f t="shared" si="3"/>
        <v>44690</v>
      </c>
      <c r="J90" s="47">
        <v>21.742615000000001</v>
      </c>
      <c r="K90" s="8">
        <f t="shared" si="5"/>
        <v>5.425982478408338E-2</v>
      </c>
      <c r="P90" s="86">
        <v>61</v>
      </c>
      <c r="Q90" s="86">
        <v>1.3822381847812307E-3</v>
      </c>
      <c r="R90" s="86">
        <v>8.1669454516980655E-2</v>
      </c>
    </row>
    <row r="91" spans="2:18">
      <c r="B91" s="85">
        <v>44691</v>
      </c>
      <c r="C91" s="47">
        <v>16240.049805000001</v>
      </c>
      <c r="D91" s="8">
        <f t="shared" si="4"/>
        <v>-3.7909688460063757E-3</v>
      </c>
      <c r="E91" s="41"/>
      <c r="F91" s="41"/>
      <c r="I91" s="85">
        <f t="shared" si="3"/>
        <v>44691</v>
      </c>
      <c r="J91" s="47">
        <v>21.997833</v>
      </c>
      <c r="K91" s="8">
        <f t="shared" si="5"/>
        <v>1.1738146492498684E-2</v>
      </c>
      <c r="P91" s="86">
        <v>62</v>
      </c>
      <c r="Q91" s="86">
        <v>3.0510878173303242E-3</v>
      </c>
      <c r="R91" s="86">
        <v>-3.0246772115939895E-2</v>
      </c>
    </row>
    <row r="92" spans="2:18">
      <c r="B92" s="85">
        <v>44692</v>
      </c>
      <c r="C92" s="47">
        <v>16167.099609000001</v>
      </c>
      <c r="D92" s="8">
        <f t="shared" si="4"/>
        <v>-4.4919933667654033E-3</v>
      </c>
      <c r="E92" s="41"/>
      <c r="F92" s="41"/>
      <c r="I92" s="85">
        <f t="shared" si="3"/>
        <v>44692</v>
      </c>
      <c r="J92" s="47">
        <v>21.762246999999999</v>
      </c>
      <c r="K92" s="8">
        <f t="shared" si="5"/>
        <v>-1.0709509432133675E-2</v>
      </c>
      <c r="P92" s="86">
        <v>63</v>
      </c>
      <c r="Q92" s="86">
        <v>-1.5013493171689286E-3</v>
      </c>
      <c r="R92" s="86">
        <v>-2.3704914522383408E-2</v>
      </c>
    </row>
    <row r="93" spans="2:18">
      <c r="B93" s="85">
        <v>44693</v>
      </c>
      <c r="C93" s="47">
        <v>15808</v>
      </c>
      <c r="D93" s="8">
        <f t="shared" si="4"/>
        <v>-2.2211752119105827E-2</v>
      </c>
      <c r="E93" s="41"/>
      <c r="F93" s="41"/>
      <c r="I93" s="85">
        <f t="shared" si="3"/>
        <v>44693</v>
      </c>
      <c r="J93" s="47">
        <v>21.919304</v>
      </c>
      <c r="K93" s="8">
        <f t="shared" si="5"/>
        <v>7.2169477719833709E-3</v>
      </c>
      <c r="P93" s="86">
        <v>64</v>
      </c>
      <c r="Q93" s="86">
        <v>-2.0110215231182822E-3</v>
      </c>
      <c r="R93" s="86">
        <v>-6.4515820969462461E-3</v>
      </c>
    </row>
    <row r="94" spans="2:18">
      <c r="B94" s="85">
        <v>44694</v>
      </c>
      <c r="C94" s="47">
        <v>15782.150390999999</v>
      </c>
      <c r="D94" s="8">
        <f t="shared" si="4"/>
        <v>-1.6352232413968106E-3</v>
      </c>
      <c r="E94" s="41"/>
      <c r="F94" s="41"/>
      <c r="I94" s="85">
        <f t="shared" si="3"/>
        <v>44694</v>
      </c>
      <c r="J94" s="47">
        <v>22.341394000000001</v>
      </c>
      <c r="K94" s="8">
        <f t="shared" si="5"/>
        <v>1.9256542087285288E-2</v>
      </c>
      <c r="P94" s="86">
        <v>65</v>
      </c>
      <c r="Q94" s="86">
        <v>-2.1966586283768217E-3</v>
      </c>
      <c r="R94" s="86">
        <v>2.4007865312139942E-2</v>
      </c>
    </row>
    <row r="95" spans="2:18">
      <c r="B95" s="85">
        <v>44697</v>
      </c>
      <c r="C95" s="47">
        <v>15842.299805000001</v>
      </c>
      <c r="D95" s="8">
        <f t="shared" si="4"/>
        <v>3.8112305680664672E-3</v>
      </c>
      <c r="E95" s="41"/>
      <c r="F95" s="41"/>
      <c r="I95" s="85">
        <f t="shared" si="3"/>
        <v>44697</v>
      </c>
      <c r="J95" s="47">
        <v>22.616244999999999</v>
      </c>
      <c r="K95" s="8">
        <f t="shared" si="5"/>
        <v>1.2302320974241722E-2</v>
      </c>
      <c r="P95" s="86">
        <v>66</v>
      </c>
      <c r="Q95" s="86">
        <v>7.8020235049059458E-4</v>
      </c>
      <c r="R95" s="86">
        <v>-3.6046979976742055E-2</v>
      </c>
    </row>
    <row r="96" spans="2:18">
      <c r="B96" s="85">
        <v>44698</v>
      </c>
      <c r="C96" s="47">
        <v>16259.299805000001</v>
      </c>
      <c r="D96" s="8">
        <f t="shared" si="4"/>
        <v>2.6321935901528027E-2</v>
      </c>
      <c r="E96" s="41"/>
      <c r="F96" s="41"/>
      <c r="I96" s="85">
        <f t="shared" si="3"/>
        <v>44698</v>
      </c>
      <c r="J96" s="47">
        <v>21.448132000000001</v>
      </c>
      <c r="K96" s="8">
        <f t="shared" si="5"/>
        <v>-5.1649290145203072E-2</v>
      </c>
      <c r="P96" s="86">
        <v>67</v>
      </c>
      <c r="Q96" s="86">
        <v>-1.6420141782802654E-3</v>
      </c>
      <c r="R96" s="86">
        <v>-2.4812947978760491E-2</v>
      </c>
    </row>
    <row r="97" spans="2:18">
      <c r="B97" s="85">
        <v>44699</v>
      </c>
      <c r="C97" s="47">
        <v>16240.299805000001</v>
      </c>
      <c r="D97" s="8">
        <f t="shared" si="4"/>
        <v>-1.1685620062284103E-3</v>
      </c>
      <c r="E97" s="41"/>
      <c r="F97" s="41"/>
      <c r="I97" s="85">
        <f t="shared" si="3"/>
        <v>44699</v>
      </c>
      <c r="J97" s="47">
        <v>22.488636</v>
      </c>
      <c r="K97" s="8">
        <f t="shared" si="5"/>
        <v>4.8512569765982345E-2</v>
      </c>
      <c r="P97" s="86">
        <v>68</v>
      </c>
      <c r="Q97" s="86">
        <v>-1.9848145453871778E-3</v>
      </c>
      <c r="R97" s="86">
        <v>-2.4695064156492488E-2</v>
      </c>
    </row>
    <row r="98" spans="2:18">
      <c r="B98" s="85">
        <v>44700</v>
      </c>
      <c r="C98" s="47">
        <v>15809.400390999999</v>
      </c>
      <c r="D98" s="8">
        <f t="shared" si="4"/>
        <v>-2.6532725329820431E-2</v>
      </c>
      <c r="E98" s="41"/>
      <c r="F98" s="41"/>
      <c r="I98" s="85">
        <f t="shared" si="3"/>
        <v>44700</v>
      </c>
      <c r="J98" s="47">
        <v>22.842016000000001</v>
      </c>
      <c r="K98" s="8">
        <f t="shared" si="5"/>
        <v>1.5713714251055572E-2</v>
      </c>
      <c r="P98" s="86">
        <v>69</v>
      </c>
      <c r="Q98" s="86">
        <v>-1.130251444445793E-3</v>
      </c>
      <c r="R98" s="86">
        <v>5.5445054025417793E-2</v>
      </c>
    </row>
    <row r="99" spans="2:18">
      <c r="B99" s="85">
        <v>44701</v>
      </c>
      <c r="C99" s="47">
        <v>16266.150390999999</v>
      </c>
      <c r="D99" s="8">
        <f t="shared" si="4"/>
        <v>2.8891038793604048E-2</v>
      </c>
      <c r="E99" s="41"/>
      <c r="F99" s="41"/>
      <c r="I99" s="85">
        <f t="shared" si="3"/>
        <v>44701</v>
      </c>
      <c r="J99" s="47">
        <v>22.419924000000002</v>
      </c>
      <c r="K99" s="8">
        <f t="shared" si="5"/>
        <v>-1.8478754239555705E-2</v>
      </c>
      <c r="P99" s="86">
        <v>70</v>
      </c>
      <c r="Q99" s="86">
        <v>-3.5193147471575914E-3</v>
      </c>
      <c r="R99" s="86">
        <v>-4.1841884464126396E-3</v>
      </c>
    </row>
    <row r="100" spans="2:18">
      <c r="B100" s="85">
        <v>44704</v>
      </c>
      <c r="C100" s="47">
        <v>16214.700194999999</v>
      </c>
      <c r="D100" s="8">
        <f t="shared" si="4"/>
        <v>-3.1630222740635042E-3</v>
      </c>
      <c r="E100" s="41"/>
      <c r="F100" s="41"/>
      <c r="I100" s="85">
        <f t="shared" si="3"/>
        <v>44704</v>
      </c>
      <c r="J100" s="47">
        <v>23.018705000000001</v>
      </c>
      <c r="K100" s="8">
        <f t="shared" si="5"/>
        <v>2.6707539240543317E-2</v>
      </c>
      <c r="P100" s="86">
        <v>71</v>
      </c>
      <c r="Q100" s="86">
        <v>-2.7160828034502771E-3</v>
      </c>
      <c r="R100" s="86">
        <v>8.0533044389474433E-3</v>
      </c>
    </row>
    <row r="101" spans="2:18">
      <c r="B101" s="85">
        <v>44705</v>
      </c>
      <c r="C101" s="47">
        <v>16125.150390999999</v>
      </c>
      <c r="D101" s="8">
        <f t="shared" si="4"/>
        <v>-5.5227542244422126E-3</v>
      </c>
      <c r="E101" s="41"/>
      <c r="F101" s="41"/>
      <c r="I101" s="85">
        <f t="shared" si="3"/>
        <v>44705</v>
      </c>
      <c r="J101" s="47">
        <v>23.489875999999999</v>
      </c>
      <c r="K101" s="8">
        <f t="shared" si="5"/>
        <v>2.0469048975604764E-2</v>
      </c>
      <c r="P101" s="86">
        <v>72</v>
      </c>
      <c r="Q101" s="86">
        <v>1.1650318822746227E-3</v>
      </c>
      <c r="R101" s="86">
        <v>1.1383130101784055E-2</v>
      </c>
    </row>
    <row r="102" spans="2:18">
      <c r="B102" s="85">
        <v>44706</v>
      </c>
      <c r="C102" s="47">
        <v>16025.799805000001</v>
      </c>
      <c r="D102" s="8">
        <f t="shared" si="4"/>
        <v>-6.1612191880982166E-3</v>
      </c>
      <c r="E102" s="41"/>
      <c r="F102" s="41"/>
      <c r="I102" s="85">
        <f t="shared" si="3"/>
        <v>44706</v>
      </c>
      <c r="J102" s="47">
        <v>23.480060999999999</v>
      </c>
      <c r="K102" s="8">
        <f t="shared" si="5"/>
        <v>-4.1783958331664611E-4</v>
      </c>
      <c r="P102" s="86">
        <v>73</v>
      </c>
      <c r="Q102" s="86">
        <v>1.9158774977944791E-3</v>
      </c>
      <c r="R102" s="86">
        <v>1.0000332999264155E-2</v>
      </c>
    </row>
    <row r="103" spans="2:18">
      <c r="B103" s="85">
        <v>44707</v>
      </c>
      <c r="C103" s="47">
        <v>16170.150390999999</v>
      </c>
      <c r="D103" s="8">
        <f t="shared" si="4"/>
        <v>9.0073873227195633E-3</v>
      </c>
      <c r="E103" s="41"/>
      <c r="F103" s="41"/>
      <c r="I103" s="85">
        <f t="shared" si="3"/>
        <v>44707</v>
      </c>
      <c r="J103" s="47">
        <v>23.519323</v>
      </c>
      <c r="K103" s="8">
        <f t="shared" si="5"/>
        <v>1.6721421635148561E-3</v>
      </c>
      <c r="P103" s="86">
        <v>74</v>
      </c>
      <c r="Q103" s="86">
        <v>-2.7442977069274941E-3</v>
      </c>
      <c r="R103" s="86">
        <v>1.6875275197548067E-2</v>
      </c>
    </row>
    <row r="104" spans="2:18">
      <c r="B104" s="85">
        <v>44708</v>
      </c>
      <c r="C104" s="47">
        <v>16352.450194999999</v>
      </c>
      <c r="D104" s="8">
        <f t="shared" si="4"/>
        <v>1.1273847156144254E-2</v>
      </c>
      <c r="E104" s="41"/>
      <c r="F104" s="41"/>
      <c r="I104" s="85">
        <f t="shared" si="3"/>
        <v>44708</v>
      </c>
      <c r="J104" s="47">
        <v>23.882521000000001</v>
      </c>
      <c r="K104" s="8">
        <f t="shared" si="5"/>
        <v>1.5442536334910686E-2</v>
      </c>
      <c r="P104" s="86">
        <v>75</v>
      </c>
      <c r="Q104" s="86">
        <v>-2.745760118343554E-3</v>
      </c>
      <c r="R104" s="86">
        <v>-7.4726470014006442E-3</v>
      </c>
    </row>
    <row r="105" spans="2:18">
      <c r="B105" s="85">
        <v>44711</v>
      </c>
      <c r="C105" s="47">
        <v>16661.400390999999</v>
      </c>
      <c r="D105" s="8">
        <f t="shared" si="4"/>
        <v>1.8893205135366554E-2</v>
      </c>
      <c r="E105" s="41"/>
      <c r="F105" s="41"/>
      <c r="I105" s="85">
        <f t="shared" si="3"/>
        <v>44711</v>
      </c>
      <c r="J105" s="47">
        <v>23.519323</v>
      </c>
      <c r="K105" s="8">
        <f t="shared" si="5"/>
        <v>-1.5207691013859071E-2</v>
      </c>
      <c r="P105" s="86">
        <v>76</v>
      </c>
      <c r="Q105" s="86">
        <v>1.8515184251017979E-3</v>
      </c>
      <c r="R105" s="86">
        <v>3.0527723973166242E-2</v>
      </c>
    </row>
    <row r="106" spans="2:18">
      <c r="B106" s="85">
        <v>44712</v>
      </c>
      <c r="C106" s="47">
        <v>16584.550781000002</v>
      </c>
      <c r="D106" s="8">
        <f t="shared" si="4"/>
        <v>-4.6124340209427652E-3</v>
      </c>
      <c r="E106" s="41"/>
      <c r="F106" s="41"/>
      <c r="I106" s="85">
        <f t="shared" si="3"/>
        <v>44712</v>
      </c>
      <c r="J106" s="47">
        <v>24.069026999999998</v>
      </c>
      <c r="K106" s="8">
        <f t="shared" si="5"/>
        <v>2.3372441460155907E-2</v>
      </c>
      <c r="P106" s="86">
        <v>77</v>
      </c>
      <c r="Q106" s="86">
        <v>-2.1969457864577865E-3</v>
      </c>
      <c r="R106" s="86">
        <v>-7.8029741037889781E-3</v>
      </c>
    </row>
    <row r="107" spans="2:18">
      <c r="B107" s="85">
        <v>44713</v>
      </c>
      <c r="C107" s="47">
        <v>16522.75</v>
      </c>
      <c r="D107" s="8">
        <f t="shared" si="4"/>
        <v>-3.726406691147972E-3</v>
      </c>
      <c r="E107" s="41"/>
      <c r="F107" s="41"/>
      <c r="I107" s="85">
        <f t="shared" si="3"/>
        <v>44713</v>
      </c>
      <c r="J107" s="47">
        <v>24.392956000000002</v>
      </c>
      <c r="K107" s="8">
        <f t="shared" si="5"/>
        <v>1.3458333816319341E-2</v>
      </c>
      <c r="P107" s="86">
        <v>78</v>
      </c>
      <c r="Q107" s="86">
        <v>1.4413661263594645E-3</v>
      </c>
      <c r="R107" s="86">
        <v>2.2316987335354128E-3</v>
      </c>
    </row>
    <row r="108" spans="2:18">
      <c r="B108" s="85">
        <v>44714</v>
      </c>
      <c r="C108" s="47">
        <v>16628</v>
      </c>
      <c r="D108" s="8">
        <f t="shared" si="4"/>
        <v>6.3700049931155528E-3</v>
      </c>
      <c r="E108" s="41"/>
      <c r="F108" s="41"/>
      <c r="I108" s="85">
        <f t="shared" si="3"/>
        <v>44714</v>
      </c>
      <c r="J108" s="47">
        <v>25.531621999999999</v>
      </c>
      <c r="K108" s="8">
        <f t="shared" si="5"/>
        <v>4.6680115357892543E-2</v>
      </c>
      <c r="P108" s="86">
        <v>79</v>
      </c>
      <c r="Q108" s="86">
        <v>-1.9982123528132379E-3</v>
      </c>
      <c r="R108" s="86">
        <v>-5.7013764980155437E-2</v>
      </c>
    </row>
    <row r="109" spans="2:18">
      <c r="B109" s="85">
        <v>44715</v>
      </c>
      <c r="C109" s="47">
        <v>16584.300781000002</v>
      </c>
      <c r="D109" s="8">
        <f t="shared" si="4"/>
        <v>-2.628050216502181E-3</v>
      </c>
      <c r="E109" s="41"/>
      <c r="F109" s="41"/>
      <c r="I109" s="85">
        <f t="shared" si="3"/>
        <v>44715</v>
      </c>
      <c r="J109" s="47">
        <v>25.286218999999999</v>
      </c>
      <c r="K109" s="8">
        <f t="shared" si="5"/>
        <v>-9.6117277625369663E-3</v>
      </c>
      <c r="P109" s="86">
        <v>80</v>
      </c>
      <c r="Q109" s="86">
        <v>-9.3432454823328542E-4</v>
      </c>
      <c r="R109" s="86">
        <v>-2.4686624157494136E-3</v>
      </c>
    </row>
    <row r="110" spans="2:18">
      <c r="B110" s="85">
        <v>44718</v>
      </c>
      <c r="C110" s="47">
        <v>16569.550781000002</v>
      </c>
      <c r="D110" s="8">
        <f t="shared" si="4"/>
        <v>-8.8939535014334224E-4</v>
      </c>
      <c r="E110" s="41"/>
      <c r="F110" s="41"/>
      <c r="I110" s="85">
        <f t="shared" si="3"/>
        <v>44718</v>
      </c>
      <c r="J110" s="47">
        <v>24.932838</v>
      </c>
      <c r="K110" s="8">
        <f t="shared" si="5"/>
        <v>-1.3975240821887955E-2</v>
      </c>
      <c r="P110" s="86">
        <v>81</v>
      </c>
      <c r="Q110" s="86">
        <v>-4.4731711524853132E-3</v>
      </c>
      <c r="R110" s="86">
        <v>2.3009657905105851E-2</v>
      </c>
    </row>
    <row r="111" spans="2:18">
      <c r="B111" s="85">
        <v>44719</v>
      </c>
      <c r="C111" s="47">
        <v>16416.349609000001</v>
      </c>
      <c r="D111" s="8">
        <f t="shared" si="4"/>
        <v>-9.2459460141595343E-3</v>
      </c>
      <c r="E111" s="41"/>
      <c r="F111" s="41"/>
      <c r="I111" s="85">
        <f t="shared" si="3"/>
        <v>44719</v>
      </c>
      <c r="J111" s="47">
        <v>25.040817000000001</v>
      </c>
      <c r="K111" s="8">
        <f t="shared" si="5"/>
        <v>4.3307945930583704E-3</v>
      </c>
      <c r="P111" s="86">
        <v>82</v>
      </c>
      <c r="Q111" s="86">
        <v>-5.533272771038152E-4</v>
      </c>
      <c r="R111" s="86">
        <v>1.204768446049157E-2</v>
      </c>
    </row>
    <row r="112" spans="2:18">
      <c r="B112" s="85">
        <v>44720</v>
      </c>
      <c r="C112" s="47">
        <v>16356.25</v>
      </c>
      <c r="D112" s="8">
        <f t="shared" si="4"/>
        <v>-3.6609605930329439E-3</v>
      </c>
      <c r="E112" s="41"/>
      <c r="F112" s="41"/>
      <c r="I112" s="85">
        <f t="shared" si="3"/>
        <v>44720</v>
      </c>
      <c r="J112" s="47">
        <v>26.189298999999998</v>
      </c>
      <c r="K112" s="8">
        <f t="shared" si="5"/>
        <v>4.5864398114486352E-2</v>
      </c>
      <c r="P112" s="86">
        <v>83</v>
      </c>
      <c r="Q112" s="86">
        <v>-3.3484863746590524E-3</v>
      </c>
      <c r="R112" s="86">
        <v>-1.8597570193010018E-3</v>
      </c>
    </row>
    <row r="113" spans="2:18">
      <c r="B113" s="85">
        <v>44721</v>
      </c>
      <c r="C113" s="47">
        <v>16478.099609000001</v>
      </c>
      <c r="D113" s="8">
        <f t="shared" si="4"/>
        <v>7.4497277187619889E-3</v>
      </c>
      <c r="E113" s="41"/>
      <c r="F113" s="41"/>
      <c r="I113" s="85">
        <f t="shared" si="3"/>
        <v>44721</v>
      </c>
      <c r="J113" s="47">
        <v>26.081322</v>
      </c>
      <c r="K113" s="8">
        <f t="shared" si="5"/>
        <v>-4.1229434968839077E-3</v>
      </c>
      <c r="P113" s="86">
        <v>84</v>
      </c>
      <c r="Q113" s="86">
        <v>-1.7288286361765446E-3</v>
      </c>
      <c r="R113" s="86">
        <v>5.5988653420259923E-2</v>
      </c>
    </row>
    <row r="114" spans="2:18">
      <c r="B114" s="85">
        <v>44722</v>
      </c>
      <c r="C114" s="47">
        <v>16201.799805000001</v>
      </c>
      <c r="D114" s="8">
        <f t="shared" si="4"/>
        <v>-1.6767698372759619E-2</v>
      </c>
      <c r="E114" s="41"/>
      <c r="F114" s="41"/>
      <c r="I114" s="85">
        <f t="shared" si="3"/>
        <v>44722</v>
      </c>
      <c r="J114" s="47">
        <v>25.835917999999999</v>
      </c>
      <c r="K114" s="8">
        <f t="shared" si="5"/>
        <v>-9.4091856233361418E-3</v>
      </c>
      <c r="P114" s="86">
        <v>85</v>
      </c>
      <c r="Q114" s="86">
        <v>-1.2438519127301658E-3</v>
      </c>
      <c r="R114" s="86">
        <v>1.298199840522885E-2</v>
      </c>
    </row>
    <row r="115" spans="2:18">
      <c r="B115" s="85">
        <v>44725</v>
      </c>
      <c r="C115" s="47">
        <v>15774.400390999999</v>
      </c>
      <c r="D115" s="8">
        <f t="shared" si="4"/>
        <v>-2.637974911084277E-2</v>
      </c>
      <c r="E115" s="41"/>
      <c r="F115" s="41"/>
      <c r="I115" s="85">
        <f t="shared" si="3"/>
        <v>44725</v>
      </c>
      <c r="J115" s="47">
        <v>25.963529999999999</v>
      </c>
      <c r="K115" s="8">
        <f t="shared" si="5"/>
        <v>4.9393251673890267E-3</v>
      </c>
      <c r="P115" s="86">
        <v>86</v>
      </c>
      <c r="Q115" s="86">
        <v>-1.3620972298480261E-3</v>
      </c>
      <c r="R115" s="86">
        <v>-9.3474122022856494E-3</v>
      </c>
    </row>
    <row r="116" spans="2:18">
      <c r="B116" s="85">
        <v>44726</v>
      </c>
      <c r="C116" s="47">
        <v>15732.099609000001</v>
      </c>
      <c r="D116" s="8">
        <f t="shared" si="4"/>
        <v>-2.6816095034669541E-3</v>
      </c>
      <c r="E116" s="41"/>
      <c r="F116" s="41"/>
      <c r="I116" s="85">
        <f t="shared" si="3"/>
        <v>44726</v>
      </c>
      <c r="J116" s="47">
        <v>25.934080000000002</v>
      </c>
      <c r="K116" s="8">
        <f t="shared" si="5"/>
        <v>-1.1342833582335334E-3</v>
      </c>
      <c r="P116" s="86">
        <v>87</v>
      </c>
      <c r="Q116" s="86">
        <v>-4.3509776910533307E-3</v>
      </c>
      <c r="R116" s="86">
        <v>1.1567925463036702E-2</v>
      </c>
    </row>
    <row r="117" spans="2:18">
      <c r="B117" s="85">
        <v>44727</v>
      </c>
      <c r="C117" s="47">
        <v>15692.150390999999</v>
      </c>
      <c r="D117" s="8">
        <f t="shared" si="4"/>
        <v>-2.5393443337434415E-3</v>
      </c>
      <c r="E117" s="41"/>
      <c r="F117" s="41"/>
      <c r="I117" s="85">
        <f t="shared" si="3"/>
        <v>44727</v>
      </c>
      <c r="J117" s="47">
        <v>25.963529999999999</v>
      </c>
      <c r="K117" s="8">
        <f t="shared" si="5"/>
        <v>1.1355714179950508E-3</v>
      </c>
      <c r="P117" s="86">
        <v>88</v>
      </c>
      <c r="Q117" s="86">
        <v>-8.802315041794163E-4</v>
      </c>
      <c r="R117" s="86">
        <v>2.0136773591464704E-2</v>
      </c>
    </row>
    <row r="118" spans="2:18">
      <c r="B118" s="85">
        <v>44728</v>
      </c>
      <c r="C118" s="47">
        <v>15360.599609000001</v>
      </c>
      <c r="D118" s="8">
        <f t="shared" si="4"/>
        <v>-2.1128447901579792E-2</v>
      </c>
      <c r="E118" s="41"/>
      <c r="F118" s="41"/>
      <c r="I118" s="85">
        <f t="shared" si="3"/>
        <v>44728</v>
      </c>
      <c r="J118" s="47">
        <v>25.354931000000001</v>
      </c>
      <c r="K118" s="8">
        <f t="shared" si="5"/>
        <v>-2.3440533702466428E-2</v>
      </c>
      <c r="P118" s="86">
        <v>89</v>
      </c>
      <c r="Q118" s="86">
        <v>3.8449139359926022E-5</v>
      </c>
      <c r="R118" s="86">
        <v>1.2263871834881796E-2</v>
      </c>
    </row>
    <row r="119" spans="2:18">
      <c r="B119" s="85">
        <v>44729</v>
      </c>
      <c r="C119" s="47">
        <v>15293.5</v>
      </c>
      <c r="D119" s="8">
        <f t="shared" si="4"/>
        <v>-4.3682936023334753E-3</v>
      </c>
      <c r="E119" s="41"/>
      <c r="F119" s="41"/>
      <c r="I119" s="85">
        <f t="shared" si="3"/>
        <v>44729</v>
      </c>
      <c r="J119" s="47">
        <v>24.667805000000001</v>
      </c>
      <c r="K119" s="8">
        <f t="shared" si="5"/>
        <v>-2.7100290669298182E-2</v>
      </c>
      <c r="P119" s="86">
        <v>90</v>
      </c>
      <c r="Q119" s="86">
        <v>3.8354425566798278E-3</v>
      </c>
      <c r="R119" s="86">
        <v>-5.5484732701882901E-2</v>
      </c>
    </row>
    <row r="120" spans="2:18">
      <c r="B120" s="85">
        <v>44732</v>
      </c>
      <c r="C120" s="47">
        <v>15350.150390999999</v>
      </c>
      <c r="D120" s="8">
        <f t="shared" si="4"/>
        <v>3.7042136201653787E-3</v>
      </c>
      <c r="E120" s="41"/>
      <c r="F120" s="41"/>
      <c r="I120" s="85">
        <f t="shared" si="3"/>
        <v>44732</v>
      </c>
      <c r="J120" s="47">
        <v>24.550013</v>
      </c>
      <c r="K120" s="8">
        <f t="shared" si="5"/>
        <v>-4.7751309855093085E-3</v>
      </c>
      <c r="P120" s="86">
        <v>91</v>
      </c>
      <c r="Q120" s="86">
        <v>-8.0151741629080203E-4</v>
      </c>
      <c r="R120" s="86">
        <v>4.9314087182273147E-2</v>
      </c>
    </row>
    <row r="121" spans="2:18">
      <c r="B121" s="85">
        <v>44733</v>
      </c>
      <c r="C121" s="47">
        <v>15638.799805000001</v>
      </c>
      <c r="D121" s="8">
        <f t="shared" si="4"/>
        <v>1.8804337849956207E-2</v>
      </c>
      <c r="E121" s="41"/>
      <c r="F121" s="41"/>
      <c r="I121" s="85">
        <f t="shared" si="3"/>
        <v>44733</v>
      </c>
      <c r="J121" s="47">
        <v>24.599091999999999</v>
      </c>
      <c r="K121" s="8">
        <f t="shared" si="5"/>
        <v>1.9991435442416666E-3</v>
      </c>
      <c r="P121" s="86">
        <v>92</v>
      </c>
      <c r="Q121" s="86">
        <v>-5.0798178848393011E-3</v>
      </c>
      <c r="R121" s="86">
        <v>2.0793532135894875E-2</v>
      </c>
    </row>
    <row r="122" spans="2:18">
      <c r="B122" s="85">
        <v>44734</v>
      </c>
      <c r="C122" s="47">
        <v>15413.299805000001</v>
      </c>
      <c r="D122" s="8">
        <f t="shared" si="4"/>
        <v>-1.441926508502933E-2</v>
      </c>
      <c r="E122" s="41"/>
      <c r="F122" s="41"/>
      <c r="I122" s="85">
        <f t="shared" si="3"/>
        <v>44734</v>
      </c>
      <c r="J122" s="47">
        <v>24.05921</v>
      </c>
      <c r="K122" s="8">
        <f t="shared" si="5"/>
        <v>-2.1947232849082343E-2</v>
      </c>
      <c r="P122" s="86">
        <v>93</v>
      </c>
      <c r="Q122" s="86">
        <v>4.268786009278349E-3</v>
      </c>
      <c r="R122" s="86">
        <v>-2.2747540248834054E-2</v>
      </c>
    </row>
    <row r="123" spans="2:18">
      <c r="B123" s="85">
        <v>44735</v>
      </c>
      <c r="C123" s="47">
        <v>15556.650390999999</v>
      </c>
      <c r="D123" s="8">
        <f t="shared" si="4"/>
        <v>9.3004475234755649E-3</v>
      </c>
      <c r="E123" s="41"/>
      <c r="F123" s="41"/>
      <c r="I123" s="85">
        <f t="shared" si="3"/>
        <v>44735</v>
      </c>
      <c r="J123" s="47">
        <v>23.990496</v>
      </c>
      <c r="K123" s="8">
        <f t="shared" si="5"/>
        <v>-2.8560372514309464E-3</v>
      </c>
      <c r="P123" s="86">
        <v>94</v>
      </c>
      <c r="Q123" s="86">
        <v>-1.1379330192625556E-3</v>
      </c>
      <c r="R123" s="86">
        <v>2.7845472259805871E-2</v>
      </c>
    </row>
    <row r="124" spans="2:18">
      <c r="B124" s="85">
        <v>44736</v>
      </c>
      <c r="C124" s="47">
        <v>15699.25</v>
      </c>
      <c r="D124" s="8">
        <f t="shared" si="4"/>
        <v>9.1664725642030907E-3</v>
      </c>
      <c r="E124" s="41"/>
      <c r="F124" s="41"/>
      <c r="I124" s="85">
        <f t="shared" si="3"/>
        <v>44736</v>
      </c>
      <c r="J124" s="47">
        <v>24.373322999999999</v>
      </c>
      <c r="K124" s="8">
        <f t="shared" si="5"/>
        <v>1.5957444147882516E-2</v>
      </c>
      <c r="P124" s="86">
        <v>95</v>
      </c>
      <c r="Q124" s="86">
        <v>-1.535960826454753E-3</v>
      </c>
      <c r="R124" s="86">
        <v>2.2005009802059515E-2</v>
      </c>
    </row>
    <row r="125" spans="2:18">
      <c r="B125" s="85">
        <v>44739</v>
      </c>
      <c r="C125" s="47">
        <v>15832.049805000001</v>
      </c>
      <c r="D125" s="8">
        <f t="shared" si="4"/>
        <v>8.4589903976304958E-3</v>
      </c>
      <c r="E125" s="41"/>
      <c r="F125" s="41"/>
      <c r="I125" s="85">
        <f t="shared" si="3"/>
        <v>44739</v>
      </c>
      <c r="J125" s="47">
        <v>24.167186999999998</v>
      </c>
      <c r="K125" s="8">
        <f t="shared" si="5"/>
        <v>-8.4574434105682168E-3</v>
      </c>
      <c r="P125" s="86">
        <v>96</v>
      </c>
      <c r="Q125" s="86">
        <v>-1.6436539097357847E-3</v>
      </c>
      <c r="R125" s="86">
        <v>1.2258143264191387E-3</v>
      </c>
    </row>
    <row r="126" spans="2:18">
      <c r="B126" s="85">
        <v>44740</v>
      </c>
      <c r="C126" s="47">
        <v>15850.200194999999</v>
      </c>
      <c r="D126" s="8">
        <f t="shared" si="4"/>
        <v>1.1464333566122758E-3</v>
      </c>
      <c r="E126" s="41"/>
      <c r="F126" s="41"/>
      <c r="I126" s="85">
        <f t="shared" si="3"/>
        <v>44740</v>
      </c>
      <c r="J126" s="47">
        <v>23.450610999999999</v>
      </c>
      <c r="K126" s="8">
        <f t="shared" si="5"/>
        <v>-2.9650782277639509E-2</v>
      </c>
      <c r="P126" s="86">
        <v>97</v>
      </c>
      <c r="Q126" s="86">
        <v>9.1491092500874669E-4</v>
      </c>
      <c r="R126" s="86">
        <v>7.5723123850610942E-4</v>
      </c>
    </row>
    <row r="127" spans="2:18">
      <c r="B127" s="85">
        <v>44741</v>
      </c>
      <c r="C127" s="47">
        <v>15799.099609000001</v>
      </c>
      <c r="D127" s="8">
        <f t="shared" si="4"/>
        <v>-3.2239710143294287E-3</v>
      </c>
      <c r="E127" s="41"/>
      <c r="F127" s="41"/>
      <c r="I127" s="85">
        <f t="shared" si="3"/>
        <v>44741</v>
      </c>
      <c r="J127" s="47">
        <v>22.753672000000002</v>
      </c>
      <c r="K127" s="8">
        <f t="shared" si="5"/>
        <v>-2.971943886664603E-2</v>
      </c>
      <c r="P127" s="86">
        <v>98</v>
      </c>
      <c r="Q127" s="86">
        <v>1.2972060570649296E-3</v>
      </c>
      <c r="R127" s="86">
        <v>1.4145330277845756E-2</v>
      </c>
    </row>
    <row r="128" spans="2:18">
      <c r="B128" s="85">
        <v>44742</v>
      </c>
      <c r="C128" s="47">
        <v>15780.25</v>
      </c>
      <c r="D128" s="8">
        <f t="shared" si="4"/>
        <v>-1.1930812176956622E-3</v>
      </c>
      <c r="E128" s="41"/>
      <c r="F128" s="41"/>
      <c r="I128" s="85">
        <f t="shared" si="3"/>
        <v>44742</v>
      </c>
      <c r="J128" s="47">
        <v>23.087418</v>
      </c>
      <c r="K128" s="8">
        <f t="shared" si="5"/>
        <v>1.466778636872316E-2</v>
      </c>
      <c r="P128" s="86">
        <v>99</v>
      </c>
      <c r="Q128" s="86">
        <v>2.582401330280394E-3</v>
      </c>
      <c r="R128" s="86">
        <v>-1.7790092344139464E-2</v>
      </c>
    </row>
    <row r="129" spans="2:18">
      <c r="B129" s="85">
        <v>44743</v>
      </c>
      <c r="C129" s="47">
        <v>15752.049805000001</v>
      </c>
      <c r="D129" s="8">
        <f t="shared" si="4"/>
        <v>-1.7870562887152891E-3</v>
      </c>
      <c r="E129" s="41"/>
      <c r="F129" s="41"/>
      <c r="I129" s="85">
        <f t="shared" si="3"/>
        <v>44743</v>
      </c>
      <c r="J129" s="47">
        <v>23.440795999999999</v>
      </c>
      <c r="K129" s="8">
        <f t="shared" si="5"/>
        <v>1.5306085764982437E-2</v>
      </c>
      <c r="P129" s="86">
        <v>100</v>
      </c>
      <c r="Q129" s="86">
        <v>-1.3824125582357757E-3</v>
      </c>
      <c r="R129" s="86">
        <v>2.4754854018391684E-2</v>
      </c>
    </row>
    <row r="130" spans="2:18">
      <c r="B130" s="85">
        <v>44746</v>
      </c>
      <c r="C130" s="47">
        <v>15835.349609000001</v>
      </c>
      <c r="D130" s="8">
        <f t="shared" si="4"/>
        <v>5.2881882060555243E-3</v>
      </c>
      <c r="E130" s="41"/>
      <c r="F130" s="41"/>
      <c r="I130" s="85">
        <f t="shared" si="3"/>
        <v>44746</v>
      </c>
      <c r="J130" s="47">
        <v>23.715644999999999</v>
      </c>
      <c r="K130" s="8">
        <f t="shared" si="5"/>
        <v>1.1725241753735653E-2</v>
      </c>
      <c r="P130" s="86">
        <v>101</v>
      </c>
      <c r="Q130" s="86">
        <v>-1.2329618906995834E-3</v>
      </c>
      <c r="R130" s="86">
        <v>1.4691295707018924E-2</v>
      </c>
    </row>
    <row r="131" spans="2:18">
      <c r="B131" s="85">
        <v>44747</v>
      </c>
      <c r="C131" s="47">
        <v>15810.849609000001</v>
      </c>
      <c r="D131" s="8">
        <f t="shared" si="4"/>
        <v>-1.5471713984814997E-3</v>
      </c>
      <c r="E131" s="41"/>
      <c r="F131" s="41"/>
      <c r="I131" s="85">
        <f t="shared" si="3"/>
        <v>44747</v>
      </c>
      <c r="J131" s="47">
        <v>23.067785000000001</v>
      </c>
      <c r="K131" s="8">
        <f t="shared" si="5"/>
        <v>-2.7317831751993163E-2</v>
      </c>
      <c r="P131" s="86">
        <v>102</v>
      </c>
      <c r="Q131" s="86">
        <v>4.7005043769311695E-4</v>
      </c>
      <c r="R131" s="86">
        <v>4.6210064920199426E-2</v>
      </c>
    </row>
    <row r="132" spans="2:18">
      <c r="B132" s="85">
        <v>44748</v>
      </c>
      <c r="C132" s="47">
        <v>15989.799805000001</v>
      </c>
      <c r="D132" s="8">
        <f t="shared" si="4"/>
        <v>1.131818975105146E-2</v>
      </c>
      <c r="E132" s="41"/>
      <c r="F132" s="41"/>
      <c r="I132" s="85">
        <f t="shared" si="3"/>
        <v>44748</v>
      </c>
      <c r="J132" s="47">
        <v>21.192914999999999</v>
      </c>
      <c r="K132" s="8">
        <f t="shared" si="5"/>
        <v>-8.1276550826184707E-2</v>
      </c>
      <c r="P132" s="86">
        <v>103</v>
      </c>
      <c r="Q132" s="86">
        <v>-1.0476966028144679E-3</v>
      </c>
      <c r="R132" s="86">
        <v>-8.5640311597224988E-3</v>
      </c>
    </row>
    <row r="133" spans="2:18">
      <c r="B133" s="85">
        <v>44749</v>
      </c>
      <c r="C133" s="47">
        <v>16132.900390999999</v>
      </c>
      <c r="D133" s="8">
        <f t="shared" si="4"/>
        <v>8.9494920352443177E-3</v>
      </c>
      <c r="E133" s="41"/>
      <c r="F133" s="41"/>
      <c r="I133" s="85">
        <f t="shared" si="3"/>
        <v>44749</v>
      </c>
      <c r="J133" s="47">
        <v>21.467766000000001</v>
      </c>
      <c r="K133" s="8">
        <f t="shared" si="5"/>
        <v>1.2969004027997175E-2</v>
      </c>
      <c r="P133" s="86">
        <v>104</v>
      </c>
      <c r="Q133" s="86">
        <v>-7.5442897815490052E-4</v>
      </c>
      <c r="R133" s="86">
        <v>-1.3220811843733055E-2</v>
      </c>
    </row>
    <row r="134" spans="2:18">
      <c r="B134" s="85">
        <v>44750</v>
      </c>
      <c r="C134" s="47">
        <v>16220.599609000001</v>
      </c>
      <c r="D134" s="8">
        <f t="shared" si="4"/>
        <v>5.4360478199522019E-3</v>
      </c>
      <c r="E134" s="41"/>
      <c r="F134" s="41"/>
      <c r="I134" s="85">
        <f t="shared" si="3"/>
        <v>44750</v>
      </c>
      <c r="J134" s="47">
        <v>21.791695000000001</v>
      </c>
      <c r="K134" s="8">
        <f t="shared" si="5"/>
        <v>1.5089087518468372E-2</v>
      </c>
      <c r="P134" s="86">
        <v>105</v>
      </c>
      <c r="Q134" s="86">
        <v>-2.1639702338704329E-3</v>
      </c>
      <c r="R134" s="86">
        <v>6.4947648269288033E-3</v>
      </c>
    </row>
    <row r="135" spans="2:18">
      <c r="B135" s="85">
        <v>44753</v>
      </c>
      <c r="C135" s="47">
        <v>16216</v>
      </c>
      <c r="D135" s="8">
        <f t="shared" si="4"/>
        <v>-2.8356590452110596E-4</v>
      </c>
      <c r="E135" s="41"/>
      <c r="F135" s="41"/>
      <c r="I135" s="85">
        <f t="shared" ref="I135:I198" si="6">B135</f>
        <v>44753</v>
      </c>
      <c r="J135" s="47">
        <v>21.075120999999999</v>
      </c>
      <c r="K135" s="8">
        <f t="shared" si="5"/>
        <v>-3.2882894148435968E-2</v>
      </c>
      <c r="P135" s="86">
        <v>106</v>
      </c>
      <c r="Q135" s="86">
        <v>-1.2219227695325248E-3</v>
      </c>
      <c r="R135" s="86">
        <v>4.7086320884018873E-2</v>
      </c>
    </row>
    <row r="136" spans="2:18">
      <c r="B136" s="85">
        <v>44754</v>
      </c>
      <c r="C136" s="47">
        <v>16058.299805000001</v>
      </c>
      <c r="D136" s="8">
        <f t="shared" ref="D136:D199" si="7">(C136-C135)/C135</f>
        <v>-9.7249750246669615E-3</v>
      </c>
      <c r="E136" s="41"/>
      <c r="F136" s="41"/>
      <c r="I136" s="85">
        <f t="shared" si="6"/>
        <v>44754</v>
      </c>
      <c r="J136" s="47">
        <v>22.086178</v>
      </c>
      <c r="K136" s="8">
        <f t="shared" ref="K136:K199" si="8">(J136-J135)/J135</f>
        <v>4.7973959437765556E-2</v>
      </c>
      <c r="P136" s="86">
        <v>107</v>
      </c>
      <c r="Q136" s="86">
        <v>6.5217267780418649E-4</v>
      </c>
      <c r="R136" s="86">
        <v>-4.7751161746880941E-3</v>
      </c>
    </row>
    <row r="137" spans="2:18">
      <c r="B137" s="85">
        <v>44755</v>
      </c>
      <c r="C137" s="47">
        <v>15966.650390999999</v>
      </c>
      <c r="D137" s="8">
        <f t="shared" si="7"/>
        <v>-5.7072924975198726E-3</v>
      </c>
      <c r="E137" s="41"/>
      <c r="F137" s="41"/>
      <c r="I137" s="85">
        <f t="shared" si="6"/>
        <v>44755</v>
      </c>
      <c r="J137" s="47">
        <v>23.637117</v>
      </c>
      <c r="K137" s="8">
        <f t="shared" si="8"/>
        <v>7.0222154326565672E-2</v>
      </c>
      <c r="P137" s="86">
        <v>108</v>
      </c>
      <c r="Q137" s="86">
        <v>-3.4327018781810724E-3</v>
      </c>
      <c r="R137" s="86">
        <v>-5.976483745155069E-3</v>
      </c>
    </row>
    <row r="138" spans="2:18">
      <c r="B138" s="85">
        <v>44756</v>
      </c>
      <c r="C138" s="47">
        <v>15938.650390999999</v>
      </c>
      <c r="D138" s="8">
        <f t="shared" si="7"/>
        <v>-1.7536552322698128E-3</v>
      </c>
      <c r="E138" s="41"/>
      <c r="F138" s="41"/>
      <c r="I138" s="85">
        <f t="shared" si="6"/>
        <v>44756</v>
      </c>
      <c r="J138" s="47">
        <v>23.872703999999999</v>
      </c>
      <c r="K138" s="8">
        <f t="shared" si="8"/>
        <v>9.9668246343240126E-3</v>
      </c>
      <c r="P138" s="86">
        <v>109</v>
      </c>
      <c r="Q138" s="86">
        <v>-5.0540146197767333E-3</v>
      </c>
      <c r="R138" s="86">
        <v>9.99333978716576E-3</v>
      </c>
    </row>
    <row r="139" spans="2:18">
      <c r="B139" s="85">
        <v>44757</v>
      </c>
      <c r="C139" s="47">
        <v>16049.200194999999</v>
      </c>
      <c r="D139" s="8">
        <f t="shared" si="7"/>
        <v>6.9359576430902733E-3</v>
      </c>
      <c r="E139" s="41"/>
      <c r="F139" s="41"/>
      <c r="I139" s="85">
        <f t="shared" si="6"/>
        <v>44757</v>
      </c>
      <c r="J139" s="47">
        <v>23.381899000000001</v>
      </c>
      <c r="K139" s="8">
        <f t="shared" si="8"/>
        <v>-2.0559254619836872E-2</v>
      </c>
      <c r="P139" s="86">
        <v>110</v>
      </c>
      <c r="Q139" s="86">
        <v>-1.0567307160076825E-3</v>
      </c>
      <c r="R139" s="86">
        <v>-7.7552642225850888E-5</v>
      </c>
    </row>
    <row r="140" spans="2:18">
      <c r="B140" s="85">
        <v>44760</v>
      </c>
      <c r="C140" s="47">
        <v>16278.5</v>
      </c>
      <c r="D140" s="8">
        <f t="shared" si="7"/>
        <v>1.4287304178026086E-2</v>
      </c>
      <c r="E140" s="41"/>
      <c r="F140" s="41"/>
      <c r="I140" s="85">
        <f t="shared" si="6"/>
        <v>44760</v>
      </c>
      <c r="J140" s="47">
        <v>23.656749999999999</v>
      </c>
      <c r="K140" s="8">
        <f t="shared" si="8"/>
        <v>1.1754862169236048E-2</v>
      </c>
      <c r="P140" s="86">
        <v>111</v>
      </c>
      <c r="Q140" s="86">
        <v>-1.0327341372709375E-3</v>
      </c>
      <c r="R140" s="86">
        <v>2.1683055552659883E-3</v>
      </c>
    </row>
    <row r="141" spans="2:18">
      <c r="B141" s="85">
        <v>44761</v>
      </c>
      <c r="C141" s="47">
        <v>16340.549805000001</v>
      </c>
      <c r="D141" s="8">
        <f t="shared" si="7"/>
        <v>3.8117642903216244E-3</v>
      </c>
      <c r="E141" s="41"/>
      <c r="F141" s="41"/>
      <c r="I141" s="85">
        <f t="shared" si="6"/>
        <v>44761</v>
      </c>
      <c r="J141" s="47">
        <v>23.018705000000001</v>
      </c>
      <c r="K141" s="8">
        <f t="shared" si="8"/>
        <v>-2.6970949094867139E-2</v>
      </c>
      <c r="P141" s="86">
        <v>112</v>
      </c>
      <c r="Q141" s="86">
        <v>-4.168251342768413E-3</v>
      </c>
      <c r="R141" s="86">
        <v>-1.9272282359698016E-2</v>
      </c>
    </row>
    <row r="142" spans="2:18">
      <c r="B142" s="85">
        <v>44762</v>
      </c>
      <c r="C142" s="47">
        <v>16520.849609000001</v>
      </c>
      <c r="D142" s="8">
        <f t="shared" si="7"/>
        <v>1.1033888464684999E-2</v>
      </c>
      <c r="E142" s="41"/>
      <c r="F142" s="41"/>
      <c r="I142" s="85">
        <f t="shared" si="6"/>
        <v>44762</v>
      </c>
      <c r="J142" s="47">
        <v>22.832198999999999</v>
      </c>
      <c r="K142" s="8">
        <f t="shared" si="8"/>
        <v>-8.1023671835579545E-3</v>
      </c>
      <c r="P142" s="86">
        <v>113</v>
      </c>
      <c r="Q142" s="86">
        <v>-1.341232171009826E-3</v>
      </c>
      <c r="R142" s="86">
        <v>-2.5759058498288356E-2</v>
      </c>
    </row>
    <row r="143" spans="2:18">
      <c r="B143" s="85">
        <v>44763</v>
      </c>
      <c r="C143" s="47">
        <v>16605.25</v>
      </c>
      <c r="D143" s="8">
        <f t="shared" si="7"/>
        <v>5.1087197691104657E-3</v>
      </c>
      <c r="E143" s="41"/>
      <c r="F143" s="41"/>
      <c r="I143" s="85">
        <f t="shared" si="6"/>
        <v>44763</v>
      </c>
      <c r="J143" s="47">
        <v>23.362266999999999</v>
      </c>
      <c r="K143" s="8">
        <f t="shared" si="8"/>
        <v>2.3215810268647361E-2</v>
      </c>
      <c r="P143" s="86">
        <v>114</v>
      </c>
      <c r="Q143" s="86">
        <v>2.0398054744728096E-5</v>
      </c>
      <c r="R143" s="86">
        <v>-4.7955290402540368E-3</v>
      </c>
    </row>
    <row r="144" spans="2:18">
      <c r="B144" s="85">
        <v>44764</v>
      </c>
      <c r="C144" s="47">
        <v>16719.449218999998</v>
      </c>
      <c r="D144" s="8">
        <f t="shared" si="7"/>
        <v>6.8772959756702411E-3</v>
      </c>
      <c r="E144" s="41"/>
      <c r="F144" s="41"/>
      <c r="I144" s="85">
        <f t="shared" si="6"/>
        <v>44764</v>
      </c>
      <c r="J144" s="47">
        <v>24.334060999999998</v>
      </c>
      <c r="K144" s="8">
        <f t="shared" si="8"/>
        <v>4.1596733741635569E-2</v>
      </c>
      <c r="P144" s="86">
        <v>115</v>
      </c>
      <c r="Q144" s="86">
        <v>2.567411640143204E-3</v>
      </c>
      <c r="R144" s="86">
        <v>-5.6826809590153739E-4</v>
      </c>
    </row>
    <row r="145" spans="2:18">
      <c r="B145" s="85">
        <v>44767</v>
      </c>
      <c r="C145" s="47">
        <v>16631</v>
      </c>
      <c r="D145" s="8">
        <f t="shared" si="7"/>
        <v>-5.2901993266311958E-3</v>
      </c>
      <c r="E145" s="41"/>
      <c r="F145" s="41"/>
      <c r="I145" s="85">
        <f t="shared" si="6"/>
        <v>44767</v>
      </c>
      <c r="J145" s="47">
        <v>23.696014000000002</v>
      </c>
      <c r="K145" s="8">
        <f t="shared" si="8"/>
        <v>-2.6220325493553943E-2</v>
      </c>
      <c r="P145" s="86">
        <v>116</v>
      </c>
      <c r="Q145" s="86">
        <v>-3.0365798730090715E-3</v>
      </c>
      <c r="R145" s="86">
        <v>-1.8910652976073271E-2</v>
      </c>
    </row>
    <row r="146" spans="2:18">
      <c r="B146" s="85">
        <v>44768</v>
      </c>
      <c r="C146" s="47">
        <v>16483.849609000001</v>
      </c>
      <c r="D146" s="8">
        <f t="shared" si="7"/>
        <v>-8.8479580903132234E-3</v>
      </c>
      <c r="E146" s="41"/>
      <c r="F146" s="41"/>
      <c r="I146" s="85">
        <f t="shared" si="6"/>
        <v>44768</v>
      </c>
      <c r="J146" s="47">
        <v>23.037579000000001</v>
      </c>
      <c r="K146" s="8">
        <f t="shared" si="8"/>
        <v>-2.7786740841729784E-2</v>
      </c>
      <c r="P146" s="86">
        <v>117</v>
      </c>
      <c r="Q146" s="86">
        <v>9.6434285691249374E-4</v>
      </c>
      <c r="R146" s="86">
        <v>-3.8203801083434401E-3</v>
      </c>
    </row>
    <row r="147" spans="2:18">
      <c r="B147" s="85">
        <v>44769</v>
      </c>
      <c r="C147" s="47">
        <v>16641.800781000002</v>
      </c>
      <c r="D147" s="8">
        <f t="shared" si="7"/>
        <v>9.5821774492386384E-3</v>
      </c>
      <c r="E147" s="41"/>
      <c r="F147" s="41"/>
      <c r="I147" s="85">
        <f t="shared" si="6"/>
        <v>44769</v>
      </c>
      <c r="J147" s="47">
        <v>22.799669000000002</v>
      </c>
      <c r="K147" s="8">
        <f t="shared" si="8"/>
        <v>-1.0327040007111831E-2</v>
      </c>
      <c r="P147" s="86">
        <v>118</v>
      </c>
      <c r="Q147" s="86">
        <v>9.4174462949546498E-4</v>
      </c>
      <c r="R147" s="86">
        <v>1.5015699518387051E-2</v>
      </c>
    </row>
    <row r="148" spans="2:18">
      <c r="B148" s="85">
        <v>44770</v>
      </c>
      <c r="C148" s="47">
        <v>16929.599609000001</v>
      </c>
      <c r="D148" s="8">
        <f t="shared" si="7"/>
        <v>1.7293731116441433E-2</v>
      </c>
      <c r="E148" s="41"/>
      <c r="F148" s="41"/>
      <c r="I148" s="85">
        <f t="shared" si="6"/>
        <v>44770</v>
      </c>
      <c r="J148" s="47">
        <v>22.660889000000001</v>
      </c>
      <c r="K148" s="8">
        <f t="shared" si="8"/>
        <v>-6.0869304725432883E-3</v>
      </c>
      <c r="P148" s="86">
        <v>119</v>
      </c>
      <c r="Q148" s="86">
        <v>8.224100689140048E-4</v>
      </c>
      <c r="R148" s="86">
        <v>-9.2798534794822224E-3</v>
      </c>
    </row>
    <row r="149" spans="2:18">
      <c r="B149" s="85">
        <v>44771</v>
      </c>
      <c r="C149" s="47">
        <v>17158.25</v>
      </c>
      <c r="D149" s="8">
        <f t="shared" si="7"/>
        <v>1.3505953848928927E-2</v>
      </c>
      <c r="E149" s="41"/>
      <c r="F149" s="41"/>
      <c r="I149" s="85">
        <f t="shared" si="6"/>
        <v>44771</v>
      </c>
      <c r="J149" s="47">
        <v>22.839321000000002</v>
      </c>
      <c r="K149" s="8">
        <f t="shared" si="8"/>
        <v>7.8740070612411013E-3</v>
      </c>
      <c r="P149" s="86">
        <v>120</v>
      </c>
      <c r="Q149" s="86">
        <v>-4.1103555338950715E-4</v>
      </c>
      <c r="R149" s="86">
        <v>-2.9239746724250001E-2</v>
      </c>
    </row>
    <row r="150" spans="2:18">
      <c r="B150" s="85">
        <v>44774</v>
      </c>
      <c r="C150" s="47">
        <v>17340.050781000002</v>
      </c>
      <c r="D150" s="8">
        <f t="shared" si="7"/>
        <v>1.0595531653869231E-2</v>
      </c>
      <c r="E150" s="41"/>
      <c r="F150" s="41"/>
      <c r="I150" s="85">
        <f t="shared" si="6"/>
        <v>44774</v>
      </c>
      <c r="J150" s="47">
        <v>22.085940999999998</v>
      </c>
      <c r="K150" s="8">
        <f t="shared" si="8"/>
        <v>-3.2986094464016832E-2</v>
      </c>
      <c r="P150" s="86">
        <v>121</v>
      </c>
      <c r="Q150" s="86">
        <v>-1.1482135485554185E-3</v>
      </c>
      <c r="R150" s="86">
        <v>-2.8571225318090612E-2</v>
      </c>
    </row>
    <row r="151" spans="2:18">
      <c r="B151" s="85">
        <v>44775</v>
      </c>
      <c r="C151" s="47">
        <v>17345.449218999998</v>
      </c>
      <c r="D151" s="8">
        <f t="shared" si="7"/>
        <v>3.1132769264503868E-4</v>
      </c>
      <c r="E151" s="41"/>
      <c r="F151" s="41"/>
      <c r="I151" s="85">
        <f t="shared" si="6"/>
        <v>44775</v>
      </c>
      <c r="J151" s="47">
        <v>22.125591</v>
      </c>
      <c r="K151" s="8">
        <f t="shared" si="8"/>
        <v>1.7952597084272635E-3</v>
      </c>
      <c r="P151" s="86">
        <v>122</v>
      </c>
      <c r="Q151" s="86">
        <v>-8.0565319449765543E-4</v>
      </c>
      <c r="R151" s="86">
        <v>1.5473439563220816E-2</v>
      </c>
    </row>
    <row r="152" spans="2:18">
      <c r="B152" s="85">
        <v>44776</v>
      </c>
      <c r="C152" s="47">
        <v>17388.150390999999</v>
      </c>
      <c r="D152" s="8">
        <f t="shared" si="7"/>
        <v>2.4618083660368161E-3</v>
      </c>
      <c r="E152" s="41"/>
      <c r="F152" s="41"/>
      <c r="I152" s="85">
        <f t="shared" si="6"/>
        <v>44776</v>
      </c>
      <c r="J152" s="47">
        <v>23.206098999999998</v>
      </c>
      <c r="K152" s="8">
        <f t="shared" si="8"/>
        <v>4.8835215294362001E-2</v>
      </c>
      <c r="P152" s="86">
        <v>123</v>
      </c>
      <c r="Q152" s="86">
        <v>-9.0584194475245856E-4</v>
      </c>
      <c r="R152" s="86">
        <v>1.6211927709734897E-2</v>
      </c>
    </row>
    <row r="153" spans="2:18">
      <c r="B153" s="85">
        <v>44777</v>
      </c>
      <c r="C153" s="47">
        <v>17382</v>
      </c>
      <c r="D153" s="8">
        <f t="shared" si="7"/>
        <v>-3.5371162899434217E-4</v>
      </c>
      <c r="E153" s="41"/>
      <c r="F153" s="41"/>
      <c r="I153" s="85">
        <f t="shared" si="6"/>
        <v>44777</v>
      </c>
      <c r="J153" s="47">
        <v>22.948361999999999</v>
      </c>
      <c r="K153" s="8">
        <f t="shared" si="8"/>
        <v>-1.110643370089901E-2</v>
      </c>
      <c r="P153" s="86">
        <v>124</v>
      </c>
      <c r="Q153" s="86">
        <v>2.8757498175495128E-4</v>
      </c>
      <c r="R153" s="86">
        <v>1.1437666771980701E-2</v>
      </c>
    </row>
    <row r="154" spans="2:18">
      <c r="B154" s="85">
        <v>44778</v>
      </c>
      <c r="C154" s="47">
        <v>17397.5</v>
      </c>
      <c r="D154" s="8">
        <f t="shared" si="7"/>
        <v>8.9172707398458174E-4</v>
      </c>
      <c r="E154" s="41"/>
      <c r="F154" s="41"/>
      <c r="I154" s="85">
        <f t="shared" si="6"/>
        <v>44778</v>
      </c>
      <c r="J154" s="47">
        <v>22.859145999999999</v>
      </c>
      <c r="K154" s="8">
        <f t="shared" si="8"/>
        <v>-3.8876848813871948E-3</v>
      </c>
      <c r="P154" s="86">
        <v>125</v>
      </c>
      <c r="Q154" s="86">
        <v>-8.6537935881214753E-4</v>
      </c>
      <c r="R154" s="86">
        <v>-2.6452452393181017E-2</v>
      </c>
    </row>
    <row r="155" spans="2:18">
      <c r="B155" s="85">
        <v>44781</v>
      </c>
      <c r="C155" s="47">
        <v>17525.099609000001</v>
      </c>
      <c r="D155" s="8">
        <f t="shared" si="7"/>
        <v>7.334364650093449E-3</v>
      </c>
      <c r="E155" s="41"/>
      <c r="F155" s="41"/>
      <c r="I155" s="85">
        <f t="shared" si="6"/>
        <v>44781</v>
      </c>
      <c r="J155" s="47">
        <v>23.017752000000002</v>
      </c>
      <c r="K155" s="8">
        <f t="shared" si="8"/>
        <v>6.9384044355813848E-3</v>
      </c>
      <c r="P155" s="86">
        <v>126</v>
      </c>
      <c r="Q155" s="86">
        <v>1.3046855446454128E-3</v>
      </c>
      <c r="R155" s="86">
        <v>-8.2581236370830119E-2</v>
      </c>
    </row>
    <row r="156" spans="2:18">
      <c r="B156" s="85">
        <v>44783</v>
      </c>
      <c r="C156" s="47">
        <v>17534.75</v>
      </c>
      <c r="D156" s="8">
        <f t="shared" si="7"/>
        <v>5.5066112120944909E-4</v>
      </c>
      <c r="E156" s="41"/>
      <c r="F156" s="41"/>
      <c r="I156" s="85">
        <f t="shared" si="6"/>
        <v>44783</v>
      </c>
      <c r="J156" s="47">
        <v>23.156534000000001</v>
      </c>
      <c r="K156" s="8">
        <f t="shared" si="8"/>
        <v>6.0293463931664166E-3</v>
      </c>
      <c r="P156" s="86">
        <v>127</v>
      </c>
      <c r="Q156" s="86">
        <v>9.0514543689182924E-4</v>
      </c>
      <c r="R156" s="86">
        <v>1.2063858591105345E-2</v>
      </c>
    </row>
    <row r="157" spans="2:18">
      <c r="B157" s="85">
        <v>44784</v>
      </c>
      <c r="C157" s="47">
        <v>17659</v>
      </c>
      <c r="D157" s="8">
        <f t="shared" si="7"/>
        <v>7.0859293688247619E-3</v>
      </c>
      <c r="E157" s="41"/>
      <c r="F157" s="41"/>
      <c r="I157" s="85">
        <f t="shared" si="6"/>
        <v>44784</v>
      </c>
      <c r="J157" s="47">
        <v>23.374617000000001</v>
      </c>
      <c r="K157" s="8">
        <f t="shared" si="8"/>
        <v>9.4177738343743499E-3</v>
      </c>
      <c r="P157" s="86">
        <v>128</v>
      </c>
      <c r="Q157" s="86">
        <v>3.1251520341111626E-4</v>
      </c>
      <c r="R157" s="86">
        <v>1.4776572315057256E-2</v>
      </c>
    </row>
    <row r="158" spans="2:18">
      <c r="B158" s="85">
        <v>44785</v>
      </c>
      <c r="C158" s="47">
        <v>17698.150390999999</v>
      </c>
      <c r="D158" s="8">
        <f t="shared" si="7"/>
        <v>2.2170219717990384E-3</v>
      </c>
      <c r="E158" s="41"/>
      <c r="F158" s="41"/>
      <c r="I158" s="85">
        <f t="shared" si="6"/>
        <v>44785</v>
      </c>
      <c r="J158" s="47">
        <v>23.543137000000002</v>
      </c>
      <c r="K158" s="8">
        <f t="shared" si="8"/>
        <v>7.2095298930459862E-3</v>
      </c>
      <c r="P158" s="86">
        <v>129</v>
      </c>
      <c r="Q158" s="86">
        <v>-6.5224069116120878E-4</v>
      </c>
      <c r="R158" s="86">
        <v>-3.2230653457274758E-2</v>
      </c>
    </row>
    <row r="159" spans="2:18">
      <c r="B159" s="85">
        <v>44789</v>
      </c>
      <c r="C159" s="47">
        <v>17825.25</v>
      </c>
      <c r="D159" s="8">
        <f t="shared" si="7"/>
        <v>7.1815193221905528E-3</v>
      </c>
      <c r="E159" s="41"/>
      <c r="F159" s="41"/>
      <c r="I159" s="85">
        <f t="shared" si="6"/>
        <v>44789</v>
      </c>
      <c r="J159" s="47">
        <v>23.830611999999999</v>
      </c>
      <c r="K159" s="8">
        <f t="shared" si="8"/>
        <v>1.2210564802812685E-2</v>
      </c>
      <c r="P159" s="86">
        <v>130</v>
      </c>
      <c r="Q159" s="86">
        <v>-2.2447704563716025E-3</v>
      </c>
      <c r="R159" s="86">
        <v>5.0218729894137157E-2</v>
      </c>
    </row>
    <row r="160" spans="2:18">
      <c r="B160" s="85">
        <v>44790</v>
      </c>
      <c r="C160" s="47">
        <v>17944.25</v>
      </c>
      <c r="D160" s="8">
        <f t="shared" si="7"/>
        <v>6.675923198833116E-3</v>
      </c>
      <c r="E160" s="41"/>
      <c r="F160" s="41"/>
      <c r="I160" s="85">
        <f t="shared" si="6"/>
        <v>44790</v>
      </c>
      <c r="J160" s="47">
        <v>23.672003</v>
      </c>
      <c r="K160" s="8">
        <f t="shared" si="8"/>
        <v>-6.6556830349131808E-3</v>
      </c>
      <c r="P160" s="86">
        <v>131</v>
      </c>
      <c r="Q160" s="86">
        <v>-1.5670878212663238E-3</v>
      </c>
      <c r="R160" s="86">
        <v>7.1789242147832E-2</v>
      </c>
    </row>
    <row r="161" spans="2:18">
      <c r="B161" s="85">
        <v>44791</v>
      </c>
      <c r="C161" s="47">
        <v>17956.5</v>
      </c>
      <c r="D161" s="8">
        <f t="shared" si="7"/>
        <v>6.8266993605193866E-4</v>
      </c>
      <c r="E161" s="41"/>
      <c r="F161" s="41"/>
      <c r="I161" s="85">
        <f t="shared" si="6"/>
        <v>44791</v>
      </c>
      <c r="J161" s="47">
        <v>25.109375</v>
      </c>
      <c r="K161" s="8">
        <f t="shared" si="8"/>
        <v>6.0720337015841029E-2</v>
      </c>
      <c r="P161" s="86">
        <v>132</v>
      </c>
      <c r="Q161" s="86">
        <v>-9.0020802126688539E-4</v>
      </c>
      <c r="R161" s="86">
        <v>1.0867032655590898E-2</v>
      </c>
    </row>
    <row r="162" spans="2:18">
      <c r="B162" s="85">
        <v>44792</v>
      </c>
      <c r="C162" s="47">
        <v>17758.449218999998</v>
      </c>
      <c r="D162" s="8">
        <f t="shared" si="7"/>
        <v>-1.1029475733021566E-2</v>
      </c>
      <c r="E162" s="41"/>
      <c r="F162" s="41"/>
      <c r="I162" s="85">
        <f t="shared" si="6"/>
        <v>44792</v>
      </c>
      <c r="J162" s="47">
        <v>25.109375</v>
      </c>
      <c r="K162" s="8">
        <f t="shared" si="8"/>
        <v>0</v>
      </c>
      <c r="P162" s="86">
        <v>133</v>
      </c>
      <c r="Q162" s="86">
        <v>5.6551250583517811E-4</v>
      </c>
      <c r="R162" s="86">
        <v>-2.1124767125672048E-2</v>
      </c>
    </row>
    <row r="163" spans="2:18">
      <c r="B163" s="85">
        <v>44795</v>
      </c>
      <c r="C163" s="47">
        <v>17490.699218999998</v>
      </c>
      <c r="D163" s="8">
        <f t="shared" si="7"/>
        <v>-1.5077330047126568E-2</v>
      </c>
      <c r="E163" s="41"/>
      <c r="F163" s="41"/>
      <c r="I163" s="85">
        <f t="shared" si="6"/>
        <v>44795</v>
      </c>
      <c r="J163" s="47">
        <v>24.028870000000001</v>
      </c>
      <c r="K163" s="8">
        <f t="shared" si="8"/>
        <v>-4.303193528313623E-2</v>
      </c>
      <c r="P163" s="86">
        <v>134</v>
      </c>
      <c r="Q163" s="86">
        <v>1.8055009463615974E-3</v>
      </c>
      <c r="R163" s="86">
        <v>9.9493612228744518E-3</v>
      </c>
    </row>
    <row r="164" spans="2:18">
      <c r="B164" s="85">
        <v>44796</v>
      </c>
      <c r="C164" s="47">
        <v>17577.5</v>
      </c>
      <c r="D164" s="8">
        <f t="shared" si="7"/>
        <v>4.9626821611402925E-3</v>
      </c>
      <c r="E164" s="41"/>
      <c r="F164" s="41"/>
      <c r="I164" s="85">
        <f t="shared" si="6"/>
        <v>44796</v>
      </c>
      <c r="J164" s="47">
        <v>24.108170999999999</v>
      </c>
      <c r="K164" s="8">
        <f t="shared" si="8"/>
        <v>3.3002384215319903E-3</v>
      </c>
      <c r="P164" s="86">
        <v>135</v>
      </c>
      <c r="Q164" s="86">
        <v>3.8539164965942685E-5</v>
      </c>
      <c r="R164" s="86">
        <v>-2.7009488259833084E-2</v>
      </c>
    </row>
    <row r="165" spans="2:18">
      <c r="B165" s="85">
        <v>44797</v>
      </c>
      <c r="C165" s="47">
        <v>17604.949218999998</v>
      </c>
      <c r="D165" s="8">
        <f t="shared" si="7"/>
        <v>1.5616110937276783E-3</v>
      </c>
      <c r="E165" s="41"/>
      <c r="F165" s="41"/>
      <c r="I165" s="85">
        <f t="shared" si="6"/>
        <v>44797</v>
      </c>
      <c r="J165" s="47">
        <v>23.820698</v>
      </c>
      <c r="K165" s="8">
        <f t="shared" si="8"/>
        <v>-1.1924297367892344E-2</v>
      </c>
      <c r="P165" s="86">
        <v>136</v>
      </c>
      <c r="Q165" s="86">
        <v>1.2567310227022733E-3</v>
      </c>
      <c r="R165" s="86">
        <v>-9.3590982062602274E-3</v>
      </c>
    </row>
    <row r="166" spans="2:18">
      <c r="B166" s="85">
        <v>44798</v>
      </c>
      <c r="C166" s="47">
        <v>17522.449218999998</v>
      </c>
      <c r="D166" s="8">
        <f t="shared" si="7"/>
        <v>-4.6861822192001863E-3</v>
      </c>
      <c r="E166" s="41"/>
      <c r="F166" s="41"/>
      <c r="I166" s="85">
        <f t="shared" si="6"/>
        <v>44798</v>
      </c>
      <c r="J166" s="47">
        <v>22.194983000000001</v>
      </c>
      <c r="K166" s="8">
        <f t="shared" si="8"/>
        <v>-6.824800012157492E-2</v>
      </c>
      <c r="P166" s="86">
        <v>137</v>
      </c>
      <c r="Q166" s="86">
        <v>2.5730314159700936E-4</v>
      </c>
      <c r="R166" s="86">
        <v>2.2958507127050352E-2</v>
      </c>
    </row>
    <row r="167" spans="2:18">
      <c r="B167" s="85">
        <v>44799</v>
      </c>
      <c r="C167" s="47">
        <v>17558.900390999999</v>
      </c>
      <c r="D167" s="8">
        <f t="shared" si="7"/>
        <v>2.0802555364506977E-3</v>
      </c>
      <c r="E167" s="41"/>
      <c r="F167" s="41"/>
      <c r="I167" s="85">
        <f t="shared" si="6"/>
        <v>44799</v>
      </c>
      <c r="J167" s="47">
        <v>22.105765999999999</v>
      </c>
      <c r="K167" s="8">
        <f t="shared" si="8"/>
        <v>-4.019692198007155E-3</v>
      </c>
      <c r="P167" s="86">
        <v>138</v>
      </c>
      <c r="Q167" s="86">
        <v>5.5561774857442825E-4</v>
      </c>
      <c r="R167" s="86">
        <v>4.1041115993061143E-2</v>
      </c>
    </row>
    <row r="168" spans="2:18">
      <c r="B168" s="85">
        <v>44802</v>
      </c>
      <c r="C168" s="47">
        <v>17312.900390999999</v>
      </c>
      <c r="D168" s="8">
        <f t="shared" si="7"/>
        <v>-1.4009988924254615E-2</v>
      </c>
      <c r="E168" s="41"/>
      <c r="F168" s="41"/>
      <c r="I168" s="85">
        <f t="shared" si="6"/>
        <v>44802</v>
      </c>
      <c r="J168" s="47">
        <v>21.709249</v>
      </c>
      <c r="K168" s="8">
        <f t="shared" si="8"/>
        <v>-1.7937265779435073E-2</v>
      </c>
      <c r="P168" s="86">
        <v>139</v>
      </c>
      <c r="Q168" s="86">
        <v>-1.4967346270499142E-3</v>
      </c>
      <c r="R168" s="86">
        <v>-2.4723590866504028E-2</v>
      </c>
    </row>
    <row r="169" spans="2:18">
      <c r="B169" s="85">
        <v>44803</v>
      </c>
      <c r="C169" s="47">
        <v>17759.300781000002</v>
      </c>
      <c r="D169" s="8">
        <f t="shared" si="7"/>
        <v>2.5784263752367045E-2</v>
      </c>
      <c r="E169" s="41"/>
      <c r="F169" s="41"/>
      <c r="I169" s="85">
        <f t="shared" si="6"/>
        <v>44803</v>
      </c>
      <c r="J169" s="47">
        <v>21.144214999999999</v>
      </c>
      <c r="K169" s="8">
        <f t="shared" si="8"/>
        <v>-2.6027339775779472E-2</v>
      </c>
      <c r="P169" s="86">
        <v>140</v>
      </c>
      <c r="Q169" s="86">
        <v>-2.0968396173645623E-3</v>
      </c>
      <c r="R169" s="86">
        <v>-2.5689901224365222E-2</v>
      </c>
    </row>
    <row r="170" spans="2:18">
      <c r="B170" s="85">
        <v>44805</v>
      </c>
      <c r="C170" s="47">
        <v>17542.800781000002</v>
      </c>
      <c r="D170" s="8">
        <f t="shared" si="7"/>
        <v>-1.2190795272279249E-2</v>
      </c>
      <c r="E170" s="41"/>
      <c r="F170" s="41"/>
      <c r="I170" s="85">
        <f t="shared" si="6"/>
        <v>44805</v>
      </c>
      <c r="J170" s="47">
        <v>21.084738000000002</v>
      </c>
      <c r="K170" s="8">
        <f t="shared" si="8"/>
        <v>-2.8129206972213232E-3</v>
      </c>
      <c r="P170" s="86">
        <v>141</v>
      </c>
      <c r="Q170" s="86">
        <v>1.0118636545835597E-3</v>
      </c>
      <c r="R170" s="86">
        <v>-1.133890366169539E-2</v>
      </c>
    </row>
    <row r="171" spans="2:18">
      <c r="B171" s="85">
        <v>44806</v>
      </c>
      <c r="C171" s="47">
        <v>17539.449218999998</v>
      </c>
      <c r="D171" s="8">
        <f t="shared" si="7"/>
        <v>-1.9105056494932263E-4</v>
      </c>
      <c r="E171" s="41"/>
      <c r="F171" s="41"/>
      <c r="I171" s="85">
        <f t="shared" si="6"/>
        <v>44806</v>
      </c>
      <c r="J171" s="47">
        <v>21.203690999999999</v>
      </c>
      <c r="K171" s="8">
        <f t="shared" si="8"/>
        <v>5.6416636526381136E-3</v>
      </c>
      <c r="P171" s="86">
        <v>142</v>
      </c>
      <c r="Q171" s="86">
        <v>2.3126100362685954E-3</v>
      </c>
      <c r="R171" s="86">
        <v>-8.3995405088118837E-3</v>
      </c>
    </row>
    <row r="172" spans="2:18">
      <c r="B172" s="85">
        <v>44809</v>
      </c>
      <c r="C172" s="47">
        <v>17665.800781000002</v>
      </c>
      <c r="D172" s="8">
        <f t="shared" si="7"/>
        <v>7.2038500424021481E-3</v>
      </c>
      <c r="E172" s="41"/>
      <c r="F172" s="41"/>
      <c r="I172" s="85">
        <f t="shared" si="6"/>
        <v>44809</v>
      </c>
      <c r="J172" s="47">
        <v>20.827003000000001</v>
      </c>
      <c r="K172" s="8">
        <f t="shared" si="8"/>
        <v>-1.7765208896884883E-2</v>
      </c>
      <c r="P172" s="86">
        <v>143</v>
      </c>
      <c r="Q172" s="86">
        <v>1.6737066728257696E-3</v>
      </c>
      <c r="R172" s="86">
        <v>6.2003003884153318E-3</v>
      </c>
    </row>
    <row r="173" spans="2:18">
      <c r="B173" s="85">
        <v>44810</v>
      </c>
      <c r="C173" s="47">
        <v>17655.599609000001</v>
      </c>
      <c r="D173" s="8">
        <f t="shared" si="7"/>
        <v>-5.774531325504678E-4</v>
      </c>
      <c r="E173" s="41"/>
      <c r="F173" s="41"/>
      <c r="I173" s="85">
        <f t="shared" si="6"/>
        <v>44810</v>
      </c>
      <c r="J173" s="47">
        <v>20.430486999999999</v>
      </c>
      <c r="K173" s="8">
        <f t="shared" si="8"/>
        <v>-1.903855297855394E-2</v>
      </c>
      <c r="P173" s="86">
        <v>144</v>
      </c>
      <c r="Q173" s="86">
        <v>1.1827911838367773E-3</v>
      </c>
      <c r="R173" s="86">
        <v>-3.4168885647853607E-2</v>
      </c>
    </row>
    <row r="174" spans="2:18">
      <c r="B174" s="85">
        <v>44811</v>
      </c>
      <c r="C174" s="47">
        <v>17624.400390999999</v>
      </c>
      <c r="D174" s="8">
        <f t="shared" si="7"/>
        <v>-1.767100449202397E-3</v>
      </c>
      <c r="E174" s="41"/>
      <c r="F174" s="41"/>
      <c r="I174" s="85">
        <f t="shared" si="6"/>
        <v>44811</v>
      </c>
      <c r="J174" s="47">
        <v>20.470137000000001</v>
      </c>
      <c r="K174" s="8">
        <f t="shared" si="8"/>
        <v>1.9407271104208989E-3</v>
      </c>
      <c r="P174" s="86">
        <v>145</v>
      </c>
      <c r="Q174" s="86">
        <v>-5.5189700850067692E-4</v>
      </c>
      <c r="R174" s="86">
        <v>2.3471567169279402E-3</v>
      </c>
    </row>
    <row r="175" spans="2:18">
      <c r="B175" s="85">
        <v>44812</v>
      </c>
      <c r="C175" s="47">
        <v>17798.75</v>
      </c>
      <c r="D175" s="8">
        <f t="shared" si="7"/>
        <v>9.8925129441018271E-3</v>
      </c>
      <c r="E175" s="41"/>
      <c r="F175" s="41"/>
      <c r="I175" s="85">
        <f t="shared" si="6"/>
        <v>44812</v>
      </c>
      <c r="J175" s="47">
        <v>20.78735</v>
      </c>
      <c r="K175" s="8">
        <f t="shared" si="8"/>
        <v>1.5496378944605932E-2</v>
      </c>
      <c r="P175" s="86">
        <v>146</v>
      </c>
      <c r="Q175" s="86">
        <v>-1.8916466226874171E-4</v>
      </c>
      <c r="R175" s="86">
        <v>4.902437995663074E-2</v>
      </c>
    </row>
    <row r="176" spans="2:18">
      <c r="B176" s="85">
        <v>44813</v>
      </c>
      <c r="C176" s="47">
        <v>17833.349609000001</v>
      </c>
      <c r="D176" s="8">
        <f t="shared" si="7"/>
        <v>1.9439347707002337E-3</v>
      </c>
      <c r="E176" s="41"/>
      <c r="F176" s="41"/>
      <c r="I176" s="85">
        <f t="shared" si="6"/>
        <v>44813</v>
      </c>
      <c r="J176" s="47">
        <v>20.38092</v>
      </c>
      <c r="K176" s="8">
        <f t="shared" si="8"/>
        <v>-1.9551794721308888E-2</v>
      </c>
      <c r="P176" s="86">
        <v>147</v>
      </c>
      <c r="Q176" s="86">
        <v>-6.6407252184499021E-4</v>
      </c>
      <c r="R176" s="86">
        <v>-1.0442361179054019E-2</v>
      </c>
    </row>
    <row r="177" spans="2:18">
      <c r="B177" s="85">
        <v>44816</v>
      </c>
      <c r="C177" s="47">
        <v>17936.349609000001</v>
      </c>
      <c r="D177" s="8">
        <f t="shared" si="7"/>
        <v>5.7756956633665014E-3</v>
      </c>
      <c r="E177" s="41"/>
      <c r="F177" s="41"/>
      <c r="I177" s="85">
        <f t="shared" si="6"/>
        <v>44816</v>
      </c>
      <c r="J177" s="47">
        <v>20.073622</v>
      </c>
      <c r="K177" s="8">
        <f t="shared" si="8"/>
        <v>-1.5077729562747874E-2</v>
      </c>
      <c r="P177" s="86">
        <v>148</v>
      </c>
      <c r="Q177" s="86">
        <v>-4.5399813782038157E-4</v>
      </c>
      <c r="R177" s="86">
        <v>-3.4336867435668132E-3</v>
      </c>
    </row>
    <row r="178" spans="2:18">
      <c r="B178" s="85">
        <v>44817</v>
      </c>
      <c r="C178" s="47">
        <v>18070.050781000002</v>
      </c>
      <c r="D178" s="8">
        <f t="shared" si="7"/>
        <v>7.4542019371050356E-3</v>
      </c>
      <c r="E178" s="41"/>
      <c r="F178" s="41"/>
      <c r="I178" s="85">
        <f t="shared" si="6"/>
        <v>44817</v>
      </c>
      <c r="J178" s="47">
        <v>20.67831</v>
      </c>
      <c r="K178" s="8">
        <f t="shared" si="8"/>
        <v>3.0123512338729872E-2</v>
      </c>
      <c r="P178" s="86">
        <v>149</v>
      </c>
      <c r="Q178" s="86">
        <v>6.3271381119616658E-4</v>
      </c>
      <c r="R178" s="86">
        <v>6.3056906243852181E-3</v>
      </c>
    </row>
    <row r="179" spans="2:18">
      <c r="B179" s="85">
        <v>44818</v>
      </c>
      <c r="C179" s="47">
        <v>18003.75</v>
      </c>
      <c r="D179" s="8">
        <f t="shared" si="7"/>
        <v>-3.6690976579719734E-3</v>
      </c>
      <c r="E179" s="41"/>
      <c r="F179" s="41"/>
      <c r="I179" s="85">
        <f t="shared" si="6"/>
        <v>44818</v>
      </c>
      <c r="J179" s="47">
        <v>19.682061999999998</v>
      </c>
      <c r="K179" s="8">
        <f t="shared" si="8"/>
        <v>-4.8178405295210364E-2</v>
      </c>
      <c r="P179" s="86">
        <v>150</v>
      </c>
      <c r="Q179" s="86">
        <v>-5.1152744036223031E-4</v>
      </c>
      <c r="R179" s="86">
        <v>6.5408738335286471E-3</v>
      </c>
    </row>
    <row r="180" spans="2:18">
      <c r="B180" s="85">
        <v>44819</v>
      </c>
      <c r="C180" s="47">
        <v>17877.400390999999</v>
      </c>
      <c r="D180" s="8">
        <f t="shared" si="7"/>
        <v>-7.0179606470874558E-3</v>
      </c>
      <c r="E180" s="41"/>
      <c r="F180" s="41"/>
      <c r="I180" s="85">
        <f t="shared" si="6"/>
        <v>44819</v>
      </c>
      <c r="J180" s="47">
        <v>20.133099000000001</v>
      </c>
      <c r="K180" s="8">
        <f t="shared" si="8"/>
        <v>2.291614567620014E-2</v>
      </c>
      <c r="P180" s="86">
        <v>151</v>
      </c>
      <c r="Q180" s="86">
        <v>5.9080898797390067E-4</v>
      </c>
      <c r="R180" s="86">
        <v>8.8269648464004494E-3</v>
      </c>
    </row>
    <row r="181" spans="2:18">
      <c r="B181" s="85">
        <v>44820</v>
      </c>
      <c r="C181" s="47">
        <v>17530.849609000001</v>
      </c>
      <c r="D181" s="8">
        <f t="shared" si="7"/>
        <v>-1.9384853190090329E-2</v>
      </c>
      <c r="E181" s="41"/>
      <c r="F181" s="41"/>
      <c r="I181" s="85">
        <f t="shared" si="6"/>
        <v>44820</v>
      </c>
      <c r="J181" s="47">
        <v>20.361097000000001</v>
      </c>
      <c r="K181" s="8">
        <f t="shared" si="8"/>
        <v>1.1324535780606824E-2</v>
      </c>
      <c r="P181" s="86">
        <v>152</v>
      </c>
      <c r="Q181" s="86">
        <v>-2.3045400943942813E-4</v>
      </c>
      <c r="R181" s="86">
        <v>7.4399839024854144E-3</v>
      </c>
    </row>
    <row r="182" spans="2:18">
      <c r="B182" s="85">
        <v>44823</v>
      </c>
      <c r="C182" s="47">
        <v>17622.25</v>
      </c>
      <c r="D182" s="8">
        <f t="shared" si="7"/>
        <v>5.2136886139891366E-3</v>
      </c>
      <c r="E182" s="41"/>
      <c r="F182" s="41"/>
      <c r="I182" s="85">
        <f t="shared" si="6"/>
        <v>44823</v>
      </c>
      <c r="J182" s="47">
        <v>20.212402000000001</v>
      </c>
      <c r="K182" s="8">
        <f t="shared" si="8"/>
        <v>-7.3028972849547361E-3</v>
      </c>
      <c r="P182" s="86">
        <v>153</v>
      </c>
      <c r="Q182" s="86">
        <v>6.0693262418676978E-4</v>
      </c>
      <c r="R182" s="86">
        <v>1.1603632178625915E-2</v>
      </c>
    </row>
    <row r="183" spans="2:18">
      <c r="B183" s="85">
        <v>44824</v>
      </c>
      <c r="C183" s="47">
        <v>17816.25</v>
      </c>
      <c r="D183" s="8">
        <f t="shared" si="7"/>
        <v>1.1008809885230319E-2</v>
      </c>
      <c r="E183" s="41"/>
      <c r="F183" s="41"/>
      <c r="I183" s="85">
        <f t="shared" si="6"/>
        <v>44824</v>
      </c>
      <c r="J183" s="47">
        <v>21.025258999999998</v>
      </c>
      <c r="K183" s="8">
        <f t="shared" si="8"/>
        <v>4.0215754663893856E-2</v>
      </c>
      <c r="P183" s="86">
        <v>154</v>
      </c>
      <c r="Q183" s="86">
        <v>5.2165119369525172E-4</v>
      </c>
      <c r="R183" s="86">
        <v>-7.1773342286084322E-3</v>
      </c>
    </row>
    <row r="184" spans="2:18">
      <c r="B184" s="85">
        <v>44825</v>
      </c>
      <c r="C184" s="47">
        <v>17718.349609000001</v>
      </c>
      <c r="D184" s="8">
        <f t="shared" si="7"/>
        <v>-5.495005458499921E-3</v>
      </c>
      <c r="E184" s="41"/>
      <c r="F184" s="41"/>
      <c r="I184" s="85">
        <f t="shared" si="6"/>
        <v>44825</v>
      </c>
      <c r="J184" s="47">
        <v>21.788553</v>
      </c>
      <c r="K184" s="8">
        <f t="shared" si="8"/>
        <v>3.6303666936992406E-2</v>
      </c>
      <c r="P184" s="86">
        <v>155</v>
      </c>
      <c r="Q184" s="86">
        <v>-4.8926085237397841E-4</v>
      </c>
      <c r="R184" s="86">
        <v>6.1209597868215004E-2</v>
      </c>
    </row>
    <row r="185" spans="2:18">
      <c r="B185" s="85">
        <v>44826</v>
      </c>
      <c r="C185" s="47">
        <v>17629.800781000002</v>
      </c>
      <c r="D185" s="8">
        <f t="shared" si="7"/>
        <v>-4.9975776499534049E-3</v>
      </c>
      <c r="E185" s="41"/>
      <c r="F185" s="41"/>
      <c r="I185" s="85">
        <f t="shared" si="6"/>
        <v>44826</v>
      </c>
      <c r="J185" s="47">
        <v>20.817088999999999</v>
      </c>
      <c r="K185" s="8">
        <f t="shared" si="8"/>
        <v>-4.4585980537578652E-2</v>
      </c>
      <c r="P185" s="86">
        <v>156</v>
      </c>
      <c r="Q185" s="86">
        <v>-2.4648071246651019E-3</v>
      </c>
      <c r="R185" s="86">
        <v>2.4648071246651019E-3</v>
      </c>
    </row>
    <row r="186" spans="2:18">
      <c r="B186" s="85">
        <v>44827</v>
      </c>
      <c r="C186" s="47">
        <v>17327.349609000001</v>
      </c>
      <c r="D186" s="8">
        <f t="shared" si="7"/>
        <v>-1.715567723975411E-2</v>
      </c>
      <c r="E186" s="41"/>
      <c r="F186" s="41"/>
      <c r="I186" s="85">
        <f t="shared" si="6"/>
        <v>44827</v>
      </c>
      <c r="J186" s="47">
        <v>20.271881</v>
      </c>
      <c r="K186" s="8">
        <f t="shared" si="8"/>
        <v>-2.619040539241576E-2</v>
      </c>
      <c r="P186" s="86">
        <v>157</v>
      </c>
      <c r="Q186" s="86">
        <v>-3.1475789861971368E-3</v>
      </c>
      <c r="R186" s="86">
        <v>-3.9884356296939094E-2</v>
      </c>
    </row>
    <row r="187" spans="2:18">
      <c r="B187" s="85">
        <v>44830</v>
      </c>
      <c r="C187" s="47">
        <v>17016.300781000002</v>
      </c>
      <c r="D187" s="8">
        <f t="shared" si="7"/>
        <v>-1.7951321755430915E-2</v>
      </c>
      <c r="E187" s="41"/>
      <c r="F187" s="41"/>
      <c r="I187" s="85">
        <f t="shared" si="6"/>
        <v>44830</v>
      </c>
      <c r="J187" s="47">
        <v>20.232227000000002</v>
      </c>
      <c r="K187" s="8">
        <f t="shared" si="8"/>
        <v>-1.9561085623972805E-3</v>
      </c>
      <c r="P187" s="86">
        <v>158</v>
      </c>
      <c r="Q187" s="86">
        <v>2.3267024680629668E-4</v>
      </c>
      <c r="R187" s="86">
        <v>3.0675681747256937E-3</v>
      </c>
    </row>
    <row r="188" spans="2:18">
      <c r="B188" s="85">
        <v>44831</v>
      </c>
      <c r="C188" s="47">
        <v>17007.400390999999</v>
      </c>
      <c r="D188" s="8">
        <f t="shared" si="7"/>
        <v>-5.230508154827917E-4</v>
      </c>
      <c r="E188" s="41"/>
      <c r="F188" s="41"/>
      <c r="I188" s="85">
        <f t="shared" si="6"/>
        <v>44831</v>
      </c>
      <c r="J188" s="47">
        <v>19.340067000000001</v>
      </c>
      <c r="K188" s="8">
        <f t="shared" si="8"/>
        <v>-4.4095986072121493E-2</v>
      </c>
      <c r="P188" s="86">
        <v>159</v>
      </c>
      <c r="Q188" s="86">
        <v>-3.4100544498141393E-4</v>
      </c>
      <c r="R188" s="86">
        <v>-1.1583291922910929E-2</v>
      </c>
    </row>
    <row r="189" spans="2:18">
      <c r="B189" s="85">
        <v>44832</v>
      </c>
      <c r="C189" s="47">
        <v>16858.599609000001</v>
      </c>
      <c r="D189" s="8">
        <f t="shared" si="7"/>
        <v>-8.7491785093000481E-3</v>
      </c>
      <c r="E189" s="41"/>
      <c r="F189" s="41"/>
      <c r="I189" s="85">
        <f t="shared" si="6"/>
        <v>44832</v>
      </c>
      <c r="J189" s="47">
        <v>19.077376999999998</v>
      </c>
      <c r="K189" s="8">
        <f t="shared" si="8"/>
        <v>-1.3582683038275034E-2</v>
      </c>
      <c r="P189" s="86">
        <v>160</v>
      </c>
      <c r="Q189" s="86">
        <v>-1.3948520362163431E-3</v>
      </c>
      <c r="R189" s="86">
        <v>-6.6853148085358582E-2</v>
      </c>
    </row>
    <row r="190" spans="2:18">
      <c r="B190" s="85">
        <v>44833</v>
      </c>
      <c r="C190" s="47">
        <v>16818.099609000001</v>
      </c>
      <c r="D190" s="8">
        <f t="shared" si="7"/>
        <v>-2.4023347691571597E-3</v>
      </c>
      <c r="E190" s="41"/>
      <c r="F190" s="41"/>
      <c r="I190" s="85">
        <f t="shared" si="6"/>
        <v>44833</v>
      </c>
      <c r="J190" s="47">
        <v>18.566859999999998</v>
      </c>
      <c r="K190" s="8">
        <f t="shared" si="8"/>
        <v>-2.6760335029286268E-2</v>
      </c>
      <c r="P190" s="86">
        <v>161</v>
      </c>
      <c r="Q190" s="86">
        <v>-2.5352308910775955E-4</v>
      </c>
      <c r="R190" s="86">
        <v>-3.7661691088993953E-3</v>
      </c>
    </row>
    <row r="191" spans="2:18">
      <c r="B191" s="85">
        <v>44834</v>
      </c>
      <c r="C191" s="47">
        <v>17094.349609000001</v>
      </c>
      <c r="D191" s="8">
        <f t="shared" si="7"/>
        <v>1.6425755966635387E-2</v>
      </c>
      <c r="E191" s="41"/>
      <c r="F191" s="41"/>
      <c r="I191" s="85">
        <f t="shared" si="6"/>
        <v>44834</v>
      </c>
      <c r="J191" s="47">
        <v>18.705642999999998</v>
      </c>
      <c r="K191" s="8">
        <f t="shared" si="8"/>
        <v>7.4747695625431605E-3</v>
      </c>
      <c r="P191" s="86">
        <v>162</v>
      </c>
      <c r="Q191" s="86">
        <v>-2.9675452130414185E-3</v>
      </c>
      <c r="R191" s="86">
        <v>-1.4969720566393655E-2</v>
      </c>
    </row>
    <row r="192" spans="2:18">
      <c r="B192" s="85">
        <v>44837</v>
      </c>
      <c r="C192" s="47">
        <v>16887.349609000001</v>
      </c>
      <c r="D192" s="8">
        <f t="shared" si="7"/>
        <v>-1.2109264449056115E-2</v>
      </c>
      <c r="E192" s="41"/>
      <c r="F192" s="41"/>
      <c r="I192" s="85">
        <f t="shared" si="6"/>
        <v>44837</v>
      </c>
      <c r="J192" s="47">
        <v>17.719308999999999</v>
      </c>
      <c r="K192" s="8">
        <f t="shared" si="8"/>
        <v>-5.2729221871710023E-2</v>
      </c>
      <c r="P192" s="86">
        <v>163</v>
      </c>
      <c r="Q192" s="86">
        <v>3.7447507022577544E-3</v>
      </c>
      <c r="R192" s="86">
        <v>-2.9772090478037225E-2</v>
      </c>
    </row>
    <row r="193" spans="2:18">
      <c r="B193" s="85">
        <v>44838</v>
      </c>
      <c r="C193" s="47">
        <v>17274.300781000002</v>
      </c>
      <c r="D193" s="8">
        <f t="shared" si="7"/>
        <v>2.2913670940629897E-2</v>
      </c>
      <c r="E193" s="41"/>
      <c r="F193" s="41"/>
      <c r="I193" s="85">
        <f t="shared" si="6"/>
        <v>44838</v>
      </c>
      <c r="J193" s="47">
        <v>17.377313999999998</v>
      </c>
      <c r="K193" s="8">
        <f t="shared" si="8"/>
        <v>-1.9300696206607196E-2</v>
      </c>
      <c r="P193" s="86">
        <v>164</v>
      </c>
      <c r="Q193" s="86">
        <v>-2.6606927080196031E-3</v>
      </c>
      <c r="R193" s="86">
        <v>-1.5222798920172011E-4</v>
      </c>
    </row>
    <row r="194" spans="2:18">
      <c r="B194" s="85">
        <v>44840</v>
      </c>
      <c r="C194" s="47">
        <v>17331.800781000002</v>
      </c>
      <c r="D194" s="8">
        <f t="shared" si="7"/>
        <v>3.3286441361055977E-3</v>
      </c>
      <c r="E194" s="41"/>
      <c r="F194" s="41"/>
      <c r="I194" s="85">
        <f t="shared" si="6"/>
        <v>44840</v>
      </c>
      <c r="J194" s="47">
        <v>17.392182999999999</v>
      </c>
      <c r="K194" s="8">
        <f t="shared" si="8"/>
        <v>8.5565582805265019E-4</v>
      </c>
      <c r="P194" s="86">
        <v>165</v>
      </c>
      <c r="Q194" s="86">
        <v>-6.3663566545670502E-4</v>
      </c>
      <c r="R194" s="86">
        <v>6.2782993180948189E-3</v>
      </c>
    </row>
    <row r="195" spans="2:18">
      <c r="B195" s="85">
        <v>44841</v>
      </c>
      <c r="C195" s="47">
        <v>17314.650390999999</v>
      </c>
      <c r="D195" s="8">
        <f t="shared" si="7"/>
        <v>-9.8953306795469538E-4</v>
      </c>
      <c r="E195" s="41"/>
      <c r="F195" s="41"/>
      <c r="I195" s="85">
        <f t="shared" si="6"/>
        <v>44841</v>
      </c>
      <c r="J195" s="47">
        <v>17.347574000000002</v>
      </c>
      <c r="K195" s="8">
        <f t="shared" si="8"/>
        <v>-2.5648879154501585E-3</v>
      </c>
      <c r="P195" s="86">
        <v>166</v>
      </c>
      <c r="Q195" s="86">
        <v>6.1069925861209813E-4</v>
      </c>
      <c r="R195" s="86">
        <v>-1.8375908155496983E-2</v>
      </c>
    </row>
    <row r="196" spans="2:18">
      <c r="B196" s="85">
        <v>44844</v>
      </c>
      <c r="C196" s="47">
        <v>17241</v>
      </c>
      <c r="D196" s="8">
        <f t="shared" si="7"/>
        <v>-4.2536458627130021E-3</v>
      </c>
      <c r="E196" s="41"/>
      <c r="F196" s="41"/>
      <c r="I196" s="85">
        <f t="shared" si="6"/>
        <v>44844</v>
      </c>
      <c r="J196" s="47">
        <v>17.302966999999999</v>
      </c>
      <c r="K196" s="8">
        <f t="shared" si="8"/>
        <v>-2.5713681924632646E-3</v>
      </c>
      <c r="P196" s="86">
        <v>167</v>
      </c>
      <c r="Q196" s="86">
        <v>-7.0181212189746132E-4</v>
      </c>
      <c r="R196" s="86">
        <v>-1.8336740856656479E-2</v>
      </c>
    </row>
    <row r="197" spans="2:18">
      <c r="B197" s="85">
        <v>44845</v>
      </c>
      <c r="C197" s="47">
        <v>16983.550781000002</v>
      </c>
      <c r="D197" s="8">
        <f t="shared" si="7"/>
        <v>-1.4932383214430616E-2</v>
      </c>
      <c r="E197" s="41"/>
      <c r="F197" s="41"/>
      <c r="I197" s="85">
        <f t="shared" si="6"/>
        <v>44845</v>
      </c>
      <c r="J197" s="47">
        <v>16.063853999999999</v>
      </c>
      <c r="K197" s="8">
        <f t="shared" si="8"/>
        <v>-7.1612747108631705E-2</v>
      </c>
      <c r="P197" s="86">
        <v>168</v>
      </c>
      <c r="Q197" s="86">
        <v>-9.0247589334957728E-4</v>
      </c>
      <c r="R197" s="86">
        <v>2.843203003770476E-3</v>
      </c>
    </row>
    <row r="198" spans="2:18">
      <c r="B198" s="85">
        <v>44846</v>
      </c>
      <c r="C198" s="47">
        <v>17123.599609000001</v>
      </c>
      <c r="D198" s="8">
        <f t="shared" si="7"/>
        <v>8.2461453323810115E-3</v>
      </c>
      <c r="E198" s="41"/>
      <c r="F198" s="41"/>
      <c r="I198" s="85">
        <f t="shared" si="6"/>
        <v>44846</v>
      </c>
      <c r="J198" s="47">
        <v>16.599152</v>
      </c>
      <c r="K198" s="8">
        <f t="shared" si="8"/>
        <v>3.332313652751083E-2</v>
      </c>
      <c r="P198" s="86">
        <v>169</v>
      </c>
      <c r="Q198" s="86">
        <v>1.0642094968706366E-3</v>
      </c>
      <c r="R198" s="86">
        <v>1.4432169447735295E-2</v>
      </c>
    </row>
    <row r="199" spans="2:18">
      <c r="B199" s="85">
        <v>44847</v>
      </c>
      <c r="C199" s="47">
        <v>17014.349609000001</v>
      </c>
      <c r="D199" s="8">
        <f t="shared" si="7"/>
        <v>-6.3800837729573656E-3</v>
      </c>
      <c r="E199" s="41"/>
      <c r="F199" s="41"/>
      <c r="I199" s="85">
        <f t="shared" ref="I199:I262" si="9">B199</f>
        <v>44847</v>
      </c>
      <c r="J199" s="47">
        <v>16.747845000000002</v>
      </c>
      <c r="K199" s="8">
        <f t="shared" si="8"/>
        <v>8.9578672452665965E-3</v>
      </c>
      <c r="P199" s="86">
        <v>170</v>
      </c>
      <c r="Q199" s="86">
        <v>-2.7651699545280453E-4</v>
      </c>
      <c r="R199" s="86">
        <v>-1.9275277725856084E-2</v>
      </c>
    </row>
    <row r="200" spans="2:18">
      <c r="B200" s="85">
        <v>44848</v>
      </c>
      <c r="C200" s="47">
        <v>17185.699218999998</v>
      </c>
      <c r="D200" s="8">
        <f t="shared" ref="D200:D263" si="10">(C200-C199)/C199</f>
        <v>1.0070888040842859E-2</v>
      </c>
      <c r="E200" s="41"/>
      <c r="F200" s="41"/>
      <c r="I200" s="85">
        <f t="shared" si="9"/>
        <v>44848</v>
      </c>
      <c r="J200" s="47">
        <v>17.937391000000002</v>
      </c>
      <c r="K200" s="8">
        <f t="shared" ref="K200:K263" si="11">(J200-J199)/J199</f>
        <v>7.102680971790698E-2</v>
      </c>
      <c r="P200" s="86">
        <v>171</v>
      </c>
      <c r="Q200" s="86">
        <v>3.6980530634422967E-4</v>
      </c>
      <c r="R200" s="86">
        <v>-1.5447534869092104E-2</v>
      </c>
    </row>
    <row r="201" spans="2:18">
      <c r="B201" s="85">
        <v>44851</v>
      </c>
      <c r="C201" s="47">
        <v>17311.800781000002</v>
      </c>
      <c r="D201" s="8">
        <f t="shared" si="10"/>
        <v>7.3375869316151731E-3</v>
      </c>
      <c r="E201" s="41"/>
      <c r="F201" s="41"/>
      <c r="I201" s="85">
        <f t="shared" si="9"/>
        <v>44851</v>
      </c>
      <c r="J201" s="47">
        <v>17.456617000000001</v>
      </c>
      <c r="K201" s="8">
        <f t="shared" si="11"/>
        <v>-2.6802894579261844E-2</v>
      </c>
      <c r="P201" s="86">
        <v>172</v>
      </c>
      <c r="Q201" s="86">
        <v>6.5292736662199739E-4</v>
      </c>
      <c r="R201" s="86">
        <v>2.9470584972107874E-2</v>
      </c>
    </row>
    <row r="202" spans="2:18">
      <c r="B202" s="85">
        <v>44852</v>
      </c>
      <c r="C202" s="47">
        <v>17486.949218999998</v>
      </c>
      <c r="D202" s="8">
        <f t="shared" si="10"/>
        <v>1.0117285903164097E-2</v>
      </c>
      <c r="E202" s="41"/>
      <c r="F202" s="41"/>
      <c r="I202" s="85">
        <f t="shared" si="9"/>
        <v>44852</v>
      </c>
      <c r="J202" s="47">
        <v>17.352530000000002</v>
      </c>
      <c r="K202" s="8">
        <f t="shared" si="11"/>
        <v>-5.9626100521080238E-3</v>
      </c>
      <c r="P202" s="86">
        <v>173</v>
      </c>
      <c r="Q202" s="86">
        <v>-1.223295289031675E-3</v>
      </c>
      <c r="R202" s="86">
        <v>-4.6955110006178691E-2</v>
      </c>
    </row>
    <row r="203" spans="2:18">
      <c r="B203" s="85">
        <v>44853</v>
      </c>
      <c r="C203" s="47">
        <v>17512.25</v>
      </c>
      <c r="D203" s="8">
        <f t="shared" si="10"/>
        <v>1.4468379065521514E-3</v>
      </c>
      <c r="E203" s="41"/>
      <c r="F203" s="41"/>
      <c r="I203" s="85">
        <f t="shared" si="9"/>
        <v>44853</v>
      </c>
      <c r="J203" s="47">
        <v>16.718105000000001</v>
      </c>
      <c r="K203" s="8">
        <f t="shared" si="11"/>
        <v>-3.6560951054399569E-2</v>
      </c>
      <c r="P203" s="86">
        <v>174</v>
      </c>
      <c r="Q203" s="86">
        <v>-1.7881647827599021E-3</v>
      </c>
      <c r="R203" s="86">
        <v>2.4704310458960044E-2</v>
      </c>
    </row>
    <row r="204" spans="2:18">
      <c r="B204" s="85">
        <v>44854</v>
      </c>
      <c r="C204" s="47">
        <v>17563.949218999998</v>
      </c>
      <c r="D204" s="8">
        <f t="shared" si="10"/>
        <v>2.9521745635197228E-3</v>
      </c>
      <c r="E204" s="41"/>
      <c r="F204" s="41"/>
      <c r="I204" s="85">
        <f t="shared" si="9"/>
        <v>44854</v>
      </c>
      <c r="J204" s="47">
        <v>16.792452000000001</v>
      </c>
      <c r="K204" s="8">
        <f t="shared" si="11"/>
        <v>4.4470949309146877E-3</v>
      </c>
      <c r="P204" s="86">
        <v>175</v>
      </c>
      <c r="Q204" s="86">
        <v>-3.8741504896886033E-3</v>
      </c>
      <c r="R204" s="86">
        <v>1.5198686270295428E-2</v>
      </c>
    </row>
    <row r="205" spans="2:18">
      <c r="B205" s="85">
        <v>44855</v>
      </c>
      <c r="C205" s="47">
        <v>17576.300781000002</v>
      </c>
      <c r="D205" s="8">
        <f t="shared" si="10"/>
        <v>7.0323375716903282E-4</v>
      </c>
      <c r="E205" s="41"/>
      <c r="F205" s="41"/>
      <c r="I205" s="85">
        <f t="shared" si="9"/>
        <v>44855</v>
      </c>
      <c r="J205" s="47">
        <v>16.856885999999999</v>
      </c>
      <c r="K205" s="8">
        <f t="shared" si="11"/>
        <v>3.8370810885747088E-3</v>
      </c>
      <c r="P205" s="86">
        <v>176</v>
      </c>
      <c r="Q205" s="86">
        <v>2.7500876241714112E-4</v>
      </c>
      <c r="R205" s="86">
        <v>-7.577906047371877E-3</v>
      </c>
    </row>
    <row r="206" spans="2:18">
      <c r="B206" s="85">
        <v>44858</v>
      </c>
      <c r="C206" s="47">
        <v>17730.75</v>
      </c>
      <c r="D206" s="8">
        <f t="shared" si="10"/>
        <v>8.7873563911103538E-3</v>
      </c>
      <c r="E206" s="41"/>
      <c r="F206" s="41"/>
      <c r="I206" s="85">
        <f t="shared" si="9"/>
        <v>44858</v>
      </c>
      <c r="J206" s="47">
        <v>16.980796999999999</v>
      </c>
      <c r="K206" s="8">
        <f t="shared" si="11"/>
        <v>7.3507645480902981E-3</v>
      </c>
      <c r="P206" s="86">
        <v>177</v>
      </c>
      <c r="Q206" s="86">
        <v>1.2525008930952901E-3</v>
      </c>
      <c r="R206" s="86">
        <v>3.8963253770798567E-2</v>
      </c>
    </row>
    <row r="207" spans="2:18">
      <c r="B207" s="85">
        <v>44859</v>
      </c>
      <c r="C207" s="47">
        <v>17656.349609000001</v>
      </c>
      <c r="D207" s="8">
        <f t="shared" si="10"/>
        <v>-4.1961220478546717E-3</v>
      </c>
      <c r="E207" s="41"/>
      <c r="F207" s="41"/>
      <c r="I207" s="85">
        <f t="shared" si="9"/>
        <v>44859</v>
      </c>
      <c r="J207" s="47">
        <v>17.644960000000001</v>
      </c>
      <c r="K207" s="8">
        <f t="shared" si="11"/>
        <v>3.911259288948582E-2</v>
      </c>
      <c r="P207" s="86">
        <v>178</v>
      </c>
      <c r="Q207" s="86">
        <v>-1.5312803031188177E-3</v>
      </c>
      <c r="R207" s="86">
        <v>3.7834947240111223E-2</v>
      </c>
    </row>
    <row r="208" spans="2:18">
      <c r="B208" s="85">
        <v>44861</v>
      </c>
      <c r="C208" s="47">
        <v>17736.949218999998</v>
      </c>
      <c r="D208" s="8">
        <f t="shared" si="10"/>
        <v>4.5649079104614753E-3</v>
      </c>
      <c r="E208" s="41"/>
      <c r="F208" s="41"/>
      <c r="I208" s="85">
        <f t="shared" si="9"/>
        <v>44861</v>
      </c>
      <c r="J208" s="47">
        <v>17.545833999999999</v>
      </c>
      <c r="K208" s="8">
        <f t="shared" si="11"/>
        <v>-5.6178081446487732E-3</v>
      </c>
      <c r="P208" s="86">
        <v>179</v>
      </c>
      <c r="Q208" s="86">
        <v>-1.4473766631988619E-3</v>
      </c>
      <c r="R208" s="86">
        <v>-4.3138603874379788E-2</v>
      </c>
    </row>
    <row r="209" spans="2:18">
      <c r="B209" s="85">
        <v>44862</v>
      </c>
      <c r="C209" s="47">
        <v>17786.800781000002</v>
      </c>
      <c r="D209" s="8">
        <f t="shared" si="10"/>
        <v>2.8106052165161512E-3</v>
      </c>
      <c r="E209" s="41"/>
      <c r="F209" s="41"/>
      <c r="I209" s="85">
        <f t="shared" si="9"/>
        <v>44862</v>
      </c>
      <c r="J209" s="47">
        <v>17.947303999999999</v>
      </c>
      <c r="K209" s="8">
        <f t="shared" si="11"/>
        <v>2.2881214993827014E-2</v>
      </c>
      <c r="P209" s="86">
        <v>180</v>
      </c>
      <c r="Q209" s="86">
        <v>-3.4981442169356699E-3</v>
      </c>
      <c r="R209" s="86">
        <v>-2.2692261175480091E-2</v>
      </c>
    </row>
    <row r="210" spans="2:18">
      <c r="B210" s="85">
        <v>44865</v>
      </c>
      <c r="C210" s="47">
        <v>18012.199218999998</v>
      </c>
      <c r="D210" s="8">
        <f t="shared" si="10"/>
        <v>1.2672230423852775E-2</v>
      </c>
      <c r="E210" s="41"/>
      <c r="F210" s="41"/>
      <c r="I210" s="85">
        <f t="shared" si="9"/>
        <v>44865</v>
      </c>
      <c r="J210" s="47">
        <v>18.715553</v>
      </c>
      <c r="K210" s="8">
        <f t="shared" si="11"/>
        <v>4.2805816405628437E-2</v>
      </c>
      <c r="P210" s="86">
        <v>181</v>
      </c>
      <c r="Q210" s="86">
        <v>-3.6323495625167693E-3</v>
      </c>
      <c r="R210" s="86">
        <v>1.6762410001194888E-3</v>
      </c>
    </row>
    <row r="211" spans="2:18">
      <c r="B211" s="85">
        <v>44866</v>
      </c>
      <c r="C211" s="47">
        <v>18145.400390999999</v>
      </c>
      <c r="D211" s="8">
        <f t="shared" si="10"/>
        <v>7.395053229230052E-3</v>
      </c>
      <c r="E211" s="41"/>
      <c r="F211" s="41"/>
      <c r="I211" s="85">
        <f t="shared" si="9"/>
        <v>44866</v>
      </c>
      <c r="J211" s="47">
        <v>18.983201999999999</v>
      </c>
      <c r="K211" s="8">
        <f t="shared" si="11"/>
        <v>1.4300886540728917E-2</v>
      </c>
      <c r="P211" s="86">
        <v>182</v>
      </c>
      <c r="Q211" s="86">
        <v>-6.9263581059432933E-4</v>
      </c>
      <c r="R211" s="86">
        <v>-4.3403350261527161E-2</v>
      </c>
    </row>
    <row r="212" spans="2:18">
      <c r="B212" s="85">
        <v>44867</v>
      </c>
      <c r="C212" s="47">
        <v>18082.849609000001</v>
      </c>
      <c r="D212" s="8">
        <f t="shared" si="10"/>
        <v>-3.4471976728065595E-3</v>
      </c>
      <c r="E212" s="41"/>
      <c r="F212" s="41"/>
      <c r="I212" s="85">
        <f t="shared" si="9"/>
        <v>44867</v>
      </c>
      <c r="J212" s="47">
        <v>19.211199000000001</v>
      </c>
      <c r="K212" s="8">
        <f t="shared" si="11"/>
        <v>1.2010460616707446E-2</v>
      </c>
      <c r="P212" s="86">
        <v>183</v>
      </c>
      <c r="Q212" s="86">
        <v>-2.0801779706806126E-3</v>
      </c>
      <c r="R212" s="86">
        <v>-1.1502505067594421E-2</v>
      </c>
    </row>
    <row r="213" spans="2:18">
      <c r="B213" s="85">
        <v>44868</v>
      </c>
      <c r="C213" s="47">
        <v>18052.699218999998</v>
      </c>
      <c r="D213" s="8">
        <f t="shared" si="10"/>
        <v>-1.6673472739051256E-3</v>
      </c>
      <c r="E213" s="41"/>
      <c r="F213" s="41"/>
      <c r="I213" s="85">
        <f t="shared" si="9"/>
        <v>44868</v>
      </c>
      <c r="J213" s="47">
        <v>18.943552</v>
      </c>
      <c r="K213" s="8">
        <f t="shared" si="11"/>
        <v>-1.3931821746263739E-2</v>
      </c>
      <c r="P213" s="86">
        <v>184</v>
      </c>
      <c r="Q213" s="86">
        <v>-1.0096240477762879E-3</v>
      </c>
      <c r="R213" s="86">
        <v>-2.5750710981509981E-2</v>
      </c>
    </row>
    <row r="214" spans="2:18">
      <c r="B214" s="85">
        <v>44869</v>
      </c>
      <c r="C214" s="47">
        <v>18117.150390999999</v>
      </c>
      <c r="D214" s="8">
        <f t="shared" si="10"/>
        <v>3.5701681625630679E-3</v>
      </c>
      <c r="E214" s="41"/>
      <c r="F214" s="41"/>
      <c r="I214" s="85">
        <f t="shared" si="9"/>
        <v>44869</v>
      </c>
      <c r="J214" s="47">
        <v>19.112072000000001</v>
      </c>
      <c r="K214" s="8">
        <f t="shared" si="11"/>
        <v>8.8959029436507416E-3</v>
      </c>
      <c r="P214" s="86">
        <v>185</v>
      </c>
      <c r="Q214" s="86">
        <v>2.1662043203485417E-3</v>
      </c>
      <c r="R214" s="86">
        <v>5.3085652421946189E-3</v>
      </c>
    </row>
    <row r="215" spans="2:18">
      <c r="B215" s="85">
        <v>44872</v>
      </c>
      <c r="C215" s="47">
        <v>18202.800781000002</v>
      </c>
      <c r="D215" s="8">
        <f t="shared" si="10"/>
        <v>4.7275861905165173E-3</v>
      </c>
      <c r="E215" s="41"/>
      <c r="F215" s="41"/>
      <c r="I215" s="85">
        <f t="shared" si="9"/>
        <v>44872</v>
      </c>
      <c r="J215" s="47">
        <v>19.082332999999998</v>
      </c>
      <c r="K215" s="8">
        <f t="shared" si="11"/>
        <v>-1.5560322292634125E-3</v>
      </c>
      <c r="P215" s="86">
        <v>186</v>
      </c>
      <c r="Q215" s="86">
        <v>-2.6469404957054584E-3</v>
      </c>
      <c r="R215" s="86">
        <v>-5.0082281376004567E-2</v>
      </c>
    </row>
    <row r="216" spans="2:18">
      <c r="B216" s="85">
        <v>44874</v>
      </c>
      <c r="C216" s="47">
        <v>18157</v>
      </c>
      <c r="D216" s="8">
        <f t="shared" si="10"/>
        <v>-2.5161392222568506E-3</v>
      </c>
      <c r="E216" s="41"/>
      <c r="F216" s="41"/>
      <c r="I216" s="85">
        <f t="shared" si="9"/>
        <v>44874</v>
      </c>
      <c r="J216" s="47">
        <v>20.073622</v>
      </c>
      <c r="K216" s="8">
        <f t="shared" si="11"/>
        <v>5.1947998182402644E-2</v>
      </c>
      <c r="P216" s="86">
        <v>187</v>
      </c>
      <c r="Q216" s="86">
        <v>3.2605534348460669E-3</v>
      </c>
      <c r="R216" s="86">
        <v>-2.2561249641453264E-2</v>
      </c>
    </row>
    <row r="217" spans="2:18">
      <c r="B217" s="85">
        <v>44875</v>
      </c>
      <c r="C217" s="47">
        <v>18028.199218999998</v>
      </c>
      <c r="D217" s="8">
        <f t="shared" si="10"/>
        <v>-7.0937258908410931E-3</v>
      </c>
      <c r="E217" s="41"/>
      <c r="F217" s="41"/>
      <c r="I217" s="85">
        <f t="shared" si="9"/>
        <v>44875</v>
      </c>
      <c r="J217" s="47">
        <v>20.152925</v>
      </c>
      <c r="K217" s="8">
        <f t="shared" si="11"/>
        <v>3.9506074190297823E-3</v>
      </c>
      <c r="P217" s="86">
        <v>188</v>
      </c>
      <c r="Q217" s="86">
        <v>-4.2951131235751056E-5</v>
      </c>
      <c r="R217" s="86">
        <v>8.9860695928840125E-4</v>
      </c>
    </row>
    <row r="218" spans="2:18">
      <c r="B218" s="85">
        <v>44876</v>
      </c>
      <c r="C218" s="47">
        <v>18349.699218999998</v>
      </c>
      <c r="D218" s="8">
        <f t="shared" si="10"/>
        <v>1.7833173246786054E-2</v>
      </c>
      <c r="E218" s="41"/>
      <c r="F218" s="41"/>
      <c r="I218" s="85">
        <f t="shared" si="9"/>
        <v>44876</v>
      </c>
      <c r="J218" s="47">
        <v>20.529613000000001</v>
      </c>
      <c r="K218" s="8">
        <f t="shared" si="11"/>
        <v>1.8691480268993282E-2</v>
      </c>
      <c r="P218" s="86">
        <v>189</v>
      </c>
      <c r="Q218" s="86">
        <v>-7.7131970857505997E-4</v>
      </c>
      <c r="R218" s="86">
        <v>-1.7935682068750984E-3</v>
      </c>
    </row>
    <row r="219" spans="2:18">
      <c r="B219" s="85">
        <v>44879</v>
      </c>
      <c r="C219" s="47">
        <v>18329.150390999999</v>
      </c>
      <c r="D219" s="8">
        <f t="shared" si="10"/>
        <v>-1.1198454947273461E-3</v>
      </c>
      <c r="E219" s="41"/>
      <c r="F219" s="41"/>
      <c r="I219" s="85">
        <f t="shared" si="9"/>
        <v>44879</v>
      </c>
      <c r="J219" s="47">
        <v>20.67831</v>
      </c>
      <c r="K219" s="8">
        <f t="shared" si="11"/>
        <v>7.2430493453529065E-3</v>
      </c>
      <c r="P219" s="86">
        <v>190</v>
      </c>
      <c r="Q219" s="86">
        <v>-1.3218939625351919E-3</v>
      </c>
      <c r="R219" s="86">
        <v>-1.2494742299280727E-3</v>
      </c>
    </row>
    <row r="220" spans="2:18">
      <c r="B220" s="85">
        <v>44880</v>
      </c>
      <c r="C220" s="47">
        <v>18403.400390999999</v>
      </c>
      <c r="D220" s="8">
        <f t="shared" si="10"/>
        <v>4.0509242608679956E-3</v>
      </c>
      <c r="E220" s="41"/>
      <c r="F220" s="41"/>
      <c r="I220" s="85">
        <f t="shared" si="9"/>
        <v>44880</v>
      </c>
      <c r="J220" s="47">
        <v>20.896393</v>
      </c>
      <c r="K220" s="8">
        <f t="shared" si="11"/>
        <v>1.0546461485488903E-2</v>
      </c>
      <c r="P220" s="86">
        <v>191</v>
      </c>
      <c r="Q220" s="86">
        <v>-3.123130077935262E-3</v>
      </c>
      <c r="R220" s="86">
        <v>-6.8489617030696448E-2</v>
      </c>
    </row>
    <row r="221" spans="2:18">
      <c r="B221" s="85">
        <v>44881</v>
      </c>
      <c r="C221" s="47">
        <v>18409.650390999999</v>
      </c>
      <c r="D221" s="8">
        <f t="shared" si="10"/>
        <v>3.3961115159220794E-4</v>
      </c>
      <c r="E221" s="41"/>
      <c r="F221" s="41"/>
      <c r="I221" s="85">
        <f t="shared" si="9"/>
        <v>44881</v>
      </c>
      <c r="J221" s="47">
        <v>20.817088999999999</v>
      </c>
      <c r="K221" s="8">
        <f t="shared" si="11"/>
        <v>-3.7951047341041339E-3</v>
      </c>
      <c r="P221" s="86">
        <v>192</v>
      </c>
      <c r="Q221" s="86">
        <v>7.8650842568739343E-4</v>
      </c>
      <c r="R221" s="86">
        <v>3.2536628101823437E-2</v>
      </c>
    </row>
    <row r="222" spans="2:18">
      <c r="B222" s="85">
        <v>44882</v>
      </c>
      <c r="C222" s="47">
        <v>18343.900390999999</v>
      </c>
      <c r="D222" s="8">
        <f t="shared" si="10"/>
        <v>-3.5714963947465006E-3</v>
      </c>
      <c r="E222" s="41"/>
      <c r="F222" s="41"/>
      <c r="I222" s="85">
        <f t="shared" si="9"/>
        <v>44882</v>
      </c>
      <c r="J222" s="47">
        <v>20.648571</v>
      </c>
      <c r="K222" s="8">
        <f t="shared" si="11"/>
        <v>-8.0951760354196906E-3</v>
      </c>
      <c r="P222" s="86">
        <v>193</v>
      </c>
      <c r="Q222" s="86">
        <v>-1.6805708954847538E-3</v>
      </c>
      <c r="R222" s="86">
        <v>1.063843814075135E-2</v>
      </c>
    </row>
    <row r="223" spans="2:18">
      <c r="B223" s="85">
        <v>44883</v>
      </c>
      <c r="C223" s="47">
        <v>18307.650390999999</v>
      </c>
      <c r="D223" s="8">
        <f t="shared" si="10"/>
        <v>-1.9761337135141229E-3</v>
      </c>
      <c r="E223" s="41"/>
      <c r="F223" s="41"/>
      <c r="I223" s="85">
        <f t="shared" si="9"/>
        <v>44883</v>
      </c>
      <c r="J223" s="47">
        <v>21.530816999999999</v>
      </c>
      <c r="K223" s="8">
        <f t="shared" si="11"/>
        <v>4.2726733971081995E-2</v>
      </c>
      <c r="P223" s="86">
        <v>194</v>
      </c>
      <c r="Q223" s="86">
        <v>1.0942969178601835E-3</v>
      </c>
      <c r="R223" s="86">
        <v>6.9932512800046795E-2</v>
      </c>
    </row>
    <row r="224" spans="2:18">
      <c r="B224" s="85">
        <v>44886</v>
      </c>
      <c r="C224" s="47">
        <v>18159.949218999998</v>
      </c>
      <c r="D224" s="8">
        <f t="shared" si="10"/>
        <v>-8.0677295472394717E-3</v>
      </c>
      <c r="E224" s="41"/>
      <c r="F224" s="41"/>
      <c r="I224" s="85">
        <f t="shared" si="9"/>
        <v>44886</v>
      </c>
      <c r="J224" s="47">
        <v>22.095853999999999</v>
      </c>
      <c r="K224" s="8">
        <f t="shared" si="11"/>
        <v>2.624317507319858E-2</v>
      </c>
      <c r="P224" s="86">
        <v>195</v>
      </c>
      <c r="Q224" s="86">
        <v>6.3325732955978487E-4</v>
      </c>
      <c r="R224" s="86">
        <v>-2.7436151908821628E-2</v>
      </c>
    </row>
    <row r="225" spans="2:18">
      <c r="B225" s="85">
        <v>44887</v>
      </c>
      <c r="C225" s="47">
        <v>18244.199218999998</v>
      </c>
      <c r="D225" s="8">
        <f t="shared" si="10"/>
        <v>4.6393301536246994E-3</v>
      </c>
      <c r="E225" s="41"/>
      <c r="F225" s="41"/>
      <c r="I225" s="85">
        <f t="shared" si="9"/>
        <v>44887</v>
      </c>
      <c r="J225" s="47">
        <v>22.839321000000002</v>
      </c>
      <c r="K225" s="8">
        <f t="shared" si="11"/>
        <v>3.3647353028310317E-2</v>
      </c>
      <c r="P225" s="86">
        <v>196</v>
      </c>
      <c r="Q225" s="86">
        <v>1.102123077689551E-3</v>
      </c>
      <c r="R225" s="86">
        <v>-7.0647331297975747E-3</v>
      </c>
    </row>
    <row r="226" spans="2:18">
      <c r="B226" s="85">
        <v>44888</v>
      </c>
      <c r="C226" s="47">
        <v>18267.25</v>
      </c>
      <c r="D226" s="8">
        <f t="shared" si="10"/>
        <v>1.2634580845837307E-3</v>
      </c>
      <c r="E226" s="41"/>
      <c r="F226" s="41"/>
      <c r="I226" s="85">
        <f t="shared" si="9"/>
        <v>44888</v>
      </c>
      <c r="J226" s="47">
        <v>22.650976</v>
      </c>
      <c r="K226" s="8">
        <f t="shared" si="11"/>
        <v>-8.246523616004248E-3</v>
      </c>
      <c r="P226" s="86">
        <v>197</v>
      </c>
      <c r="Q226" s="86">
        <v>-3.6036481332348474E-4</v>
      </c>
      <c r="R226" s="86">
        <v>-3.6200586241076083E-2</v>
      </c>
    </row>
    <row r="227" spans="2:18">
      <c r="B227" s="85">
        <v>44889</v>
      </c>
      <c r="C227" s="47">
        <v>18484.099609000001</v>
      </c>
      <c r="D227" s="8">
        <f t="shared" si="10"/>
        <v>1.1870949869301662E-2</v>
      </c>
      <c r="E227" s="41"/>
      <c r="F227" s="41"/>
      <c r="I227" s="85">
        <f t="shared" si="9"/>
        <v>44889</v>
      </c>
      <c r="J227" s="47">
        <v>23.790958</v>
      </c>
      <c r="K227" s="8">
        <f t="shared" si="11"/>
        <v>5.0328162459754487E-2</v>
      </c>
      <c r="P227" s="86">
        <v>198</v>
      </c>
      <c r="Q227" s="86">
        <v>-1.0645213965617404E-4</v>
      </c>
      <c r="R227" s="86">
        <v>4.5535470705708615E-3</v>
      </c>
    </row>
    <row r="228" spans="2:18">
      <c r="B228" s="85">
        <v>44890</v>
      </c>
      <c r="C228" s="47">
        <v>18512.75</v>
      </c>
      <c r="D228" s="8">
        <f t="shared" si="10"/>
        <v>1.5500019804074849E-3</v>
      </c>
      <c r="E228" s="41"/>
      <c r="F228" s="41"/>
      <c r="I228" s="85">
        <f t="shared" si="9"/>
        <v>44890</v>
      </c>
      <c r="J228" s="47">
        <v>24.336168000000001</v>
      </c>
      <c r="K228" s="8">
        <f t="shared" si="11"/>
        <v>2.2916689609556742E-2</v>
      </c>
      <c r="P228" s="86">
        <v>199</v>
      </c>
      <c r="Q228" s="86">
        <v>-4.857922496687364E-4</v>
      </c>
      <c r="R228" s="86">
        <v>4.3228733382434451E-3</v>
      </c>
    </row>
    <row r="229" spans="2:18">
      <c r="B229" s="85">
        <v>44893</v>
      </c>
      <c r="C229" s="47">
        <v>18562.75</v>
      </c>
      <c r="D229" s="8">
        <f t="shared" si="10"/>
        <v>2.7008413120687092E-3</v>
      </c>
      <c r="E229" s="41"/>
      <c r="F229" s="41"/>
      <c r="I229" s="85">
        <f t="shared" si="9"/>
        <v>44893</v>
      </c>
      <c r="J229" s="47">
        <v>24.217214999999999</v>
      </c>
      <c r="K229" s="8">
        <f t="shared" si="11"/>
        <v>-4.887910044013552E-3</v>
      </c>
      <c r="P229" s="86">
        <v>200</v>
      </c>
      <c r="Q229" s="86">
        <v>8.7779720571159743E-4</v>
      </c>
      <c r="R229" s="86">
        <v>6.4729673423787005E-3</v>
      </c>
    </row>
    <row r="230" spans="2:18">
      <c r="B230" s="85">
        <v>44894</v>
      </c>
      <c r="C230" s="47">
        <v>18618.050781000002</v>
      </c>
      <c r="D230" s="8">
        <f t="shared" si="10"/>
        <v>2.979126530282514E-3</v>
      </c>
      <c r="E230" s="41"/>
      <c r="F230" s="41"/>
      <c r="I230" s="85">
        <f t="shared" si="9"/>
        <v>44894</v>
      </c>
      <c r="J230" s="47">
        <v>23.672003</v>
      </c>
      <c r="K230" s="8">
        <f t="shared" si="11"/>
        <v>-2.2513406269052794E-2</v>
      </c>
      <c r="P230" s="86">
        <v>201</v>
      </c>
      <c r="Q230" s="86">
        <v>-1.3121911325651536E-3</v>
      </c>
      <c r="R230" s="86">
        <v>4.042478402205097E-2</v>
      </c>
    </row>
    <row r="231" spans="2:18">
      <c r="B231" s="85">
        <v>44895</v>
      </c>
      <c r="C231" s="47">
        <v>18758.349609000001</v>
      </c>
      <c r="D231" s="8">
        <f t="shared" si="10"/>
        <v>7.5356346188063944E-3</v>
      </c>
      <c r="E231" s="41"/>
      <c r="F231" s="41"/>
      <c r="I231" s="85">
        <f t="shared" si="9"/>
        <v>44895</v>
      </c>
      <c r="J231" s="47">
        <v>25.367111000000001</v>
      </c>
      <c r="K231" s="8">
        <f t="shared" si="11"/>
        <v>7.1608135568418149E-2</v>
      </c>
      <c r="P231" s="86">
        <v>202</v>
      </c>
      <c r="Q231" s="86">
        <v>1.6557567162380632E-4</v>
      </c>
      <c r="R231" s="86">
        <v>-5.7833838162725795E-3</v>
      </c>
    </row>
    <row r="232" spans="2:18">
      <c r="B232" s="85">
        <v>44896</v>
      </c>
      <c r="C232" s="47">
        <v>18812.5</v>
      </c>
      <c r="D232" s="8">
        <f t="shared" si="10"/>
        <v>2.886735354053674E-3</v>
      </c>
      <c r="E232" s="41"/>
      <c r="F232" s="41"/>
      <c r="I232" s="85">
        <f t="shared" si="9"/>
        <v>44896</v>
      </c>
      <c r="J232" s="47">
        <v>24.554252999999999</v>
      </c>
      <c r="K232" s="8">
        <f t="shared" si="11"/>
        <v>-3.2043775107066866E-2</v>
      </c>
      <c r="P232" s="86">
        <v>203</v>
      </c>
      <c r="Q232" s="86">
        <v>-1.3033135048959923E-4</v>
      </c>
      <c r="R232" s="86">
        <v>2.3011546344316614E-2</v>
      </c>
    </row>
    <row r="233" spans="2:18">
      <c r="B233" s="85">
        <v>44897</v>
      </c>
      <c r="C233" s="47">
        <v>18696.099609000001</v>
      </c>
      <c r="D233" s="8">
        <f t="shared" si="10"/>
        <v>-6.1873961993355068E-3</v>
      </c>
      <c r="E233" s="41"/>
      <c r="F233" s="41"/>
      <c r="I233" s="85">
        <f t="shared" si="9"/>
        <v>44897</v>
      </c>
      <c r="J233" s="47">
        <v>24.286604000000001</v>
      </c>
      <c r="K233" s="8">
        <f t="shared" si="11"/>
        <v>-1.0900311241396702E-2</v>
      </c>
      <c r="P233" s="86">
        <v>204</v>
      </c>
      <c r="Q233" s="86">
        <v>1.5330783668715394E-3</v>
      </c>
      <c r="R233" s="86">
        <v>4.1272738038756897E-2</v>
      </c>
    </row>
    <row r="234" spans="2:18">
      <c r="B234" s="85">
        <v>44900</v>
      </c>
      <c r="C234" s="47">
        <v>18701.050781000002</v>
      </c>
      <c r="D234" s="8">
        <f t="shared" si="10"/>
        <v>2.6482379231749159E-4</v>
      </c>
      <c r="E234" s="41"/>
      <c r="F234" s="41"/>
      <c r="I234" s="85">
        <f t="shared" si="9"/>
        <v>44900</v>
      </c>
      <c r="J234" s="47">
        <v>24.048694999999999</v>
      </c>
      <c r="K234" s="8">
        <f t="shared" si="11"/>
        <v>-9.7958940657163068E-3</v>
      </c>
      <c r="P234" s="86">
        <v>205</v>
      </c>
      <c r="Q234" s="86">
        <v>6.4295045780828509E-4</v>
      </c>
      <c r="R234" s="86">
        <v>1.3657936082920631E-2</v>
      </c>
    </row>
    <row r="235" spans="2:18">
      <c r="B235" s="85">
        <v>44901</v>
      </c>
      <c r="C235" s="47">
        <v>18642.75</v>
      </c>
      <c r="D235" s="8">
        <f t="shared" si="10"/>
        <v>-3.1175136457698136E-3</v>
      </c>
      <c r="E235" s="41"/>
      <c r="F235" s="41"/>
      <c r="I235" s="85">
        <f t="shared" si="9"/>
        <v>44901</v>
      </c>
      <c r="J235" s="47">
        <v>23.969393</v>
      </c>
      <c r="K235" s="8">
        <f t="shared" si="11"/>
        <v>-3.2975593893971558E-3</v>
      </c>
      <c r="P235" s="86">
        <v>206</v>
      </c>
      <c r="Q235" s="86">
        <v>-1.1858663071097255E-3</v>
      </c>
      <c r="R235" s="86">
        <v>1.3196326923817172E-2</v>
      </c>
    </row>
    <row r="236" spans="2:18">
      <c r="B236" s="85">
        <v>44902</v>
      </c>
      <c r="C236" s="47">
        <v>18560.5</v>
      </c>
      <c r="D236" s="8">
        <f t="shared" si="10"/>
        <v>-4.4119027503989484E-3</v>
      </c>
      <c r="E236" s="41"/>
      <c r="F236" s="41"/>
      <c r="I236" s="85">
        <f t="shared" si="9"/>
        <v>44902</v>
      </c>
      <c r="J236" s="47">
        <v>24.167648</v>
      </c>
      <c r="K236" s="8">
        <f t="shared" si="11"/>
        <v>8.2711731582021959E-3</v>
      </c>
      <c r="P236" s="86">
        <v>207</v>
      </c>
      <c r="Q236" s="86">
        <v>-8.8565002564131501E-4</v>
      </c>
      <c r="R236" s="86">
        <v>-1.3046171720622423E-2</v>
      </c>
    </row>
    <row r="237" spans="2:18">
      <c r="B237" s="85">
        <v>44903</v>
      </c>
      <c r="C237" s="47">
        <v>18609.349609000001</v>
      </c>
      <c r="D237" s="8">
        <f t="shared" si="10"/>
        <v>2.6319123407236218E-3</v>
      </c>
      <c r="E237" s="41"/>
      <c r="F237" s="41"/>
      <c r="I237" s="85">
        <f t="shared" si="9"/>
        <v>44903</v>
      </c>
      <c r="J237" s="47">
        <v>24.455124000000001</v>
      </c>
      <c r="K237" s="8">
        <f t="shared" si="11"/>
        <v>1.1895075598585415E-2</v>
      </c>
      <c r="P237" s="86">
        <v>208</v>
      </c>
      <c r="Q237" s="86">
        <v>-2.2120639786971487E-6</v>
      </c>
      <c r="R237" s="86">
        <v>8.8981150076294386E-3</v>
      </c>
    </row>
    <row r="238" spans="2:18">
      <c r="B238" s="85">
        <v>44904</v>
      </c>
      <c r="C238" s="47">
        <v>18496.599609000001</v>
      </c>
      <c r="D238" s="8">
        <f t="shared" si="10"/>
        <v>-6.0587824061014445E-3</v>
      </c>
      <c r="E238" s="41"/>
      <c r="F238" s="41"/>
      <c r="I238" s="85">
        <f t="shared" si="9"/>
        <v>44904</v>
      </c>
      <c r="J238" s="47">
        <v>24.465036000000001</v>
      </c>
      <c r="K238" s="8">
        <f t="shared" si="11"/>
        <v>4.0531383116274201E-4</v>
      </c>
      <c r="P238" s="86">
        <v>209</v>
      </c>
      <c r="Q238" s="86">
        <v>1.9301543192273125E-4</v>
      </c>
      <c r="R238" s="86">
        <v>-1.7490476611861437E-3</v>
      </c>
    </row>
    <row r="239" spans="2:18">
      <c r="B239" s="85">
        <v>44907</v>
      </c>
      <c r="C239" s="47">
        <v>18497.150390999999</v>
      </c>
      <c r="D239" s="8">
        <f t="shared" si="10"/>
        <v>2.9777473245970985E-5</v>
      </c>
      <c r="E239" s="41"/>
      <c r="F239" s="41"/>
      <c r="I239" s="85">
        <f t="shared" si="9"/>
        <v>44907</v>
      </c>
      <c r="J239" s="47">
        <v>24.316343</v>
      </c>
      <c r="K239" s="8">
        <f t="shared" si="11"/>
        <v>-6.0777756468456253E-3</v>
      </c>
      <c r="P239" s="86">
        <v>210</v>
      </c>
      <c r="Q239" s="86">
        <v>-1.028820014889717E-3</v>
      </c>
      <c r="R239" s="86">
        <v>5.2976818197292358E-2</v>
      </c>
    </row>
    <row r="240" spans="2:18">
      <c r="B240" s="85">
        <v>44908</v>
      </c>
      <c r="C240" s="47">
        <v>18608</v>
      </c>
      <c r="D240" s="8">
        <f t="shared" si="10"/>
        <v>5.9927938442851138E-3</v>
      </c>
      <c r="E240" s="41"/>
      <c r="F240" s="41"/>
      <c r="I240" s="85">
        <f t="shared" si="9"/>
        <v>44908</v>
      </c>
      <c r="J240" s="47">
        <v>24.346081000000002</v>
      </c>
      <c r="K240" s="8">
        <f t="shared" si="11"/>
        <v>1.2229635023655416E-3</v>
      </c>
      <c r="P240" s="86">
        <v>211</v>
      </c>
      <c r="Q240" s="86">
        <v>-1.8009444859070343E-3</v>
      </c>
      <c r="R240" s="86">
        <v>5.751551904936817E-3</v>
      </c>
    </row>
    <row r="241" spans="2:18">
      <c r="B241" s="85">
        <v>44909</v>
      </c>
      <c r="C241" s="47">
        <v>18660.300781000002</v>
      </c>
      <c r="D241" s="8">
        <f t="shared" si="10"/>
        <v>2.8106610597593367E-3</v>
      </c>
      <c r="E241" s="41"/>
      <c r="F241" s="41"/>
      <c r="I241" s="85">
        <f t="shared" si="9"/>
        <v>44909</v>
      </c>
      <c r="J241" s="47">
        <v>24.643469</v>
      </c>
      <c r="K241" s="8">
        <f t="shared" si="11"/>
        <v>1.2215025490139376E-2</v>
      </c>
      <c r="P241" s="86">
        <v>212</v>
      </c>
      <c r="Q241" s="86">
        <v>2.4036004422821676E-3</v>
      </c>
      <c r="R241" s="86">
        <v>1.6287879826711114E-2</v>
      </c>
    </row>
    <row r="242" spans="2:18">
      <c r="B242" s="85">
        <v>44910</v>
      </c>
      <c r="C242" s="47">
        <v>18414.900390999999</v>
      </c>
      <c r="D242" s="8">
        <f t="shared" si="10"/>
        <v>-1.3150934322016408E-2</v>
      </c>
      <c r="E242" s="41"/>
      <c r="F242" s="41"/>
      <c r="I242" s="85">
        <f t="shared" si="9"/>
        <v>44910</v>
      </c>
      <c r="J242" s="47">
        <v>24.554252999999999</v>
      </c>
      <c r="K242" s="8">
        <f t="shared" si="11"/>
        <v>-3.6202695326701126E-3</v>
      </c>
      <c r="P242" s="86">
        <v>213</v>
      </c>
      <c r="Q242" s="86">
        <v>-7.9330015829092186E-4</v>
      </c>
      <c r="R242" s="86">
        <v>8.036349503643828E-3</v>
      </c>
    </row>
    <row r="243" spans="2:18">
      <c r="B243" s="85">
        <v>44911</v>
      </c>
      <c r="C243" s="47">
        <v>18269</v>
      </c>
      <c r="D243" s="8">
        <f t="shared" si="10"/>
        <v>-7.9229530381443609E-3</v>
      </c>
      <c r="E243" s="41"/>
      <c r="F243" s="41"/>
      <c r="I243" s="85">
        <f t="shared" si="9"/>
        <v>44911</v>
      </c>
      <c r="J243" s="47">
        <v>24.504688000000002</v>
      </c>
      <c r="K243" s="8">
        <f t="shared" si="11"/>
        <v>-2.018591239570499E-3</v>
      </c>
      <c r="P243" s="86">
        <v>214</v>
      </c>
      <c r="Q243" s="86">
        <v>7.8879475071692395E-5</v>
      </c>
      <c r="R243" s="86">
        <v>1.046758201041721E-2</v>
      </c>
    </row>
    <row r="244" spans="2:18">
      <c r="B244" s="85">
        <v>44914</v>
      </c>
      <c r="C244" s="47">
        <v>18420.449218999998</v>
      </c>
      <c r="D244" s="8">
        <f t="shared" si="10"/>
        <v>8.2899567026108855E-3</v>
      </c>
      <c r="E244" s="41"/>
      <c r="F244" s="41"/>
      <c r="I244" s="85">
        <f t="shared" si="9"/>
        <v>44914</v>
      </c>
      <c r="J244" s="47">
        <v>24.702946000000001</v>
      </c>
      <c r="K244" s="8">
        <f t="shared" si="11"/>
        <v>8.0906151508641586E-3</v>
      </c>
      <c r="P244" s="86">
        <v>215</v>
      </c>
      <c r="Q244" s="86">
        <v>-5.4712629581750731E-4</v>
      </c>
      <c r="R244" s="86">
        <v>-3.2479784382866265E-3</v>
      </c>
    </row>
    <row r="245" spans="2:18">
      <c r="B245" s="85">
        <v>44915</v>
      </c>
      <c r="C245" s="47">
        <v>18385.300781000002</v>
      </c>
      <c r="D245" s="8">
        <f t="shared" si="10"/>
        <v>-1.9081205665572067E-3</v>
      </c>
      <c r="E245" s="41"/>
      <c r="F245" s="41"/>
      <c r="I245" s="85">
        <f t="shared" si="9"/>
        <v>44915</v>
      </c>
      <c r="J245" s="47">
        <v>24.385735</v>
      </c>
      <c r="K245" s="8">
        <f t="shared" si="11"/>
        <v>-1.2841019042829966E-2</v>
      </c>
      <c r="P245" s="86">
        <v>216</v>
      </c>
      <c r="Q245" s="86">
        <v>-1.2068323951107832E-3</v>
      </c>
      <c r="R245" s="86">
        <v>-6.8883436403089074E-3</v>
      </c>
    </row>
    <row r="246" spans="2:18">
      <c r="B246" s="85">
        <v>44916</v>
      </c>
      <c r="C246" s="47">
        <v>18199.099609000001</v>
      </c>
      <c r="D246" s="8">
        <f t="shared" si="10"/>
        <v>-1.0127719650495335E-2</v>
      </c>
      <c r="E246" s="41"/>
      <c r="F246" s="41"/>
      <c r="I246" s="85">
        <f t="shared" si="9"/>
        <v>44916</v>
      </c>
      <c r="J246" s="47">
        <v>23.622440000000001</v>
      </c>
      <c r="K246" s="8">
        <f t="shared" si="11"/>
        <v>-3.1300881437446908E-2</v>
      </c>
      <c r="P246" s="86">
        <v>217</v>
      </c>
      <c r="Q246" s="86">
        <v>-9.3773458101995889E-4</v>
      </c>
      <c r="R246" s="86">
        <v>4.3664468552101952E-2</v>
      </c>
    </row>
    <row r="247" spans="2:18">
      <c r="B247" s="85">
        <v>44917</v>
      </c>
      <c r="C247" s="47">
        <v>18127.349609000001</v>
      </c>
      <c r="D247" s="8">
        <f t="shared" si="10"/>
        <v>-3.9425027359330164E-3</v>
      </c>
      <c r="E247" s="41"/>
      <c r="F247" s="41"/>
      <c r="I247" s="85">
        <f t="shared" si="9"/>
        <v>44917</v>
      </c>
      <c r="J247" s="47">
        <v>23.295314999999999</v>
      </c>
      <c r="K247" s="8">
        <f t="shared" si="11"/>
        <v>-1.3848061419565563E-2</v>
      </c>
      <c r="P247" s="86">
        <v>218</v>
      </c>
      <c r="Q247" s="86">
        <v>-1.9652345610959602E-3</v>
      </c>
      <c r="R247" s="86">
        <v>2.8208409634294541E-2</v>
      </c>
    </row>
    <row r="248" spans="2:18">
      <c r="B248" s="85">
        <v>44918</v>
      </c>
      <c r="C248" s="47">
        <v>17806.800781000002</v>
      </c>
      <c r="D248" s="8">
        <f t="shared" si="10"/>
        <v>-1.7683160247588019E-2</v>
      </c>
      <c r="E248" s="41"/>
      <c r="F248" s="41"/>
      <c r="I248" s="85">
        <f t="shared" si="9"/>
        <v>44918</v>
      </c>
      <c r="J248" s="47">
        <v>23.830611999999999</v>
      </c>
      <c r="K248" s="8">
        <f t="shared" si="11"/>
        <v>2.2978740575089883E-2</v>
      </c>
      <c r="P248" s="86">
        <v>219</v>
      </c>
      <c r="Q248" s="86">
        <v>1.7812884413470468E-4</v>
      </c>
      <c r="R248" s="86">
        <v>3.3469224184175611E-2</v>
      </c>
    </row>
    <row r="249" spans="2:18">
      <c r="B249" s="85">
        <v>44921</v>
      </c>
      <c r="C249" s="47">
        <v>18014.599609000001</v>
      </c>
      <c r="D249" s="8">
        <f t="shared" si="10"/>
        <v>1.1669632886650927E-2</v>
      </c>
      <c r="E249" s="41"/>
      <c r="F249" s="41"/>
      <c r="I249" s="85">
        <f t="shared" si="9"/>
        <v>44921</v>
      </c>
      <c r="J249" s="47">
        <v>23.553049000000001</v>
      </c>
      <c r="K249" s="8">
        <f t="shared" si="11"/>
        <v>-1.1647329913306345E-2</v>
      </c>
      <c r="P249" s="86">
        <v>220</v>
      </c>
      <c r="Q249" s="86">
        <v>-3.9129640638415925E-4</v>
      </c>
      <c r="R249" s="86">
        <v>-7.855227209620088E-3</v>
      </c>
    </row>
    <row r="250" spans="2:18">
      <c r="B250" s="85">
        <v>44922</v>
      </c>
      <c r="C250" s="47">
        <v>18132.300781000002</v>
      </c>
      <c r="D250" s="8">
        <f t="shared" si="10"/>
        <v>6.5336546220654303E-3</v>
      </c>
      <c r="E250" s="41"/>
      <c r="F250" s="41"/>
      <c r="I250" s="85">
        <f t="shared" si="9"/>
        <v>44922</v>
      </c>
      <c r="J250" s="47">
        <v>24.028870000000001</v>
      </c>
      <c r="K250" s="8">
        <f t="shared" si="11"/>
        <v>2.0202097826060642E-2</v>
      </c>
      <c r="P250" s="86">
        <v>221</v>
      </c>
      <c r="Q250" s="86">
        <v>1.3979223623844439E-3</v>
      </c>
      <c r="R250" s="86">
        <v>4.8930240097370042E-2</v>
      </c>
    </row>
    <row r="251" spans="2:18">
      <c r="B251" s="85">
        <v>44923</v>
      </c>
      <c r="C251" s="47">
        <v>18122.5</v>
      </c>
      <c r="D251" s="8">
        <f t="shared" si="10"/>
        <v>-5.4051502445136572E-4</v>
      </c>
      <c r="E251" s="41"/>
      <c r="F251" s="41"/>
      <c r="I251" s="85">
        <f t="shared" si="9"/>
        <v>44923</v>
      </c>
      <c r="J251" s="47">
        <v>23.771132999999999</v>
      </c>
      <c r="K251" s="8">
        <f t="shared" si="11"/>
        <v>-1.0726139015276304E-2</v>
      </c>
      <c r="P251" s="86">
        <v>222</v>
      </c>
      <c r="Q251" s="86">
        <v>-3.4296361227136425E-4</v>
      </c>
      <c r="R251" s="86">
        <v>2.3259653221828106E-2</v>
      </c>
    </row>
    <row r="252" spans="2:18">
      <c r="B252" s="85">
        <v>44924</v>
      </c>
      <c r="C252" s="47">
        <v>18191</v>
      </c>
      <c r="D252" s="8">
        <f t="shared" si="10"/>
        <v>3.7798317009242652E-3</v>
      </c>
      <c r="E252" s="41"/>
      <c r="F252" s="41"/>
      <c r="I252" s="85">
        <f t="shared" si="9"/>
        <v>44924</v>
      </c>
      <c r="J252" s="47">
        <v>23.037579000000001</v>
      </c>
      <c r="K252" s="8">
        <f t="shared" si="11"/>
        <v>-3.0859025524782435E-2</v>
      </c>
      <c r="P252" s="86">
        <v>223</v>
      </c>
      <c r="Q252" s="86">
        <v>-1.4884577802407311E-4</v>
      </c>
      <c r="R252" s="86">
        <v>-4.739064265989479E-3</v>
      </c>
    </row>
    <row r="253" spans="2:18">
      <c r="B253" s="85">
        <v>44925</v>
      </c>
      <c r="C253" s="47">
        <v>18105.300781000002</v>
      </c>
      <c r="D253" s="8">
        <f t="shared" si="10"/>
        <v>-4.711077950634834E-3</v>
      </c>
      <c r="E253" s="41"/>
      <c r="F253" s="41"/>
      <c r="I253" s="85">
        <f t="shared" si="9"/>
        <v>44925</v>
      </c>
      <c r="J253" s="47">
        <v>22.621237000000001</v>
      </c>
      <c r="K253" s="8">
        <f t="shared" si="11"/>
        <v>-1.807229830877629E-2</v>
      </c>
      <c r="P253" s="86">
        <v>224</v>
      </c>
      <c r="Q253" s="86">
        <v>-1.019060164287502E-4</v>
      </c>
      <c r="R253" s="86">
        <v>-2.2411500252624044E-2</v>
      </c>
    </row>
    <row r="254" spans="2:18">
      <c r="B254" s="85">
        <v>44928</v>
      </c>
      <c r="C254" s="47">
        <v>18197.449218999998</v>
      </c>
      <c r="D254" s="8">
        <f t="shared" si="10"/>
        <v>5.0895833830442968E-3</v>
      </c>
      <c r="E254" s="41"/>
      <c r="F254" s="41"/>
      <c r="I254" s="85">
        <f t="shared" si="9"/>
        <v>44928</v>
      </c>
      <c r="J254" s="47">
        <v>22.878972999999998</v>
      </c>
      <c r="K254" s="8">
        <f t="shared" si="11"/>
        <v>1.1393541387679097E-2</v>
      </c>
      <c r="P254" s="86">
        <v>225</v>
      </c>
      <c r="Q254" s="86">
        <v>6.6666302491410567E-4</v>
      </c>
      <c r="R254" s="86">
        <v>7.0941472543504039E-2</v>
      </c>
    </row>
    <row r="255" spans="2:18">
      <c r="B255" s="85">
        <v>44929</v>
      </c>
      <c r="C255" s="47">
        <v>18232.550781000002</v>
      </c>
      <c r="D255" s="8">
        <f t="shared" si="10"/>
        <v>1.9289275973554496E-3</v>
      </c>
      <c r="E255" s="41"/>
      <c r="F255" s="41"/>
      <c r="I255" s="85">
        <f t="shared" si="9"/>
        <v>44929</v>
      </c>
      <c r="J255" s="47">
        <v>22.462630999999998</v>
      </c>
      <c r="K255" s="8">
        <f t="shared" si="11"/>
        <v>-1.8197582557573727E-2</v>
      </c>
      <c r="P255" s="86">
        <v>226</v>
      </c>
      <c r="Q255" s="86">
        <v>-1.1749009888030627E-4</v>
      </c>
      <c r="R255" s="86">
        <v>-3.1926285008186561E-2</v>
      </c>
    </row>
    <row r="256" spans="2:18">
      <c r="B256" s="85">
        <v>44930</v>
      </c>
      <c r="C256" s="47">
        <v>18042.949218999998</v>
      </c>
      <c r="D256" s="8">
        <f t="shared" si="10"/>
        <v>-1.0399069459748099E-2</v>
      </c>
      <c r="E256" s="41"/>
      <c r="F256" s="41"/>
      <c r="I256" s="85">
        <f t="shared" si="9"/>
        <v>44930</v>
      </c>
      <c r="J256" s="47">
        <v>22.859145999999999</v>
      </c>
      <c r="K256" s="8">
        <f t="shared" si="11"/>
        <v>1.7652206457916746E-2</v>
      </c>
      <c r="P256" s="86">
        <v>227</v>
      </c>
      <c r="Q256" s="86">
        <v>-1.6480693173332246E-3</v>
      </c>
      <c r="R256" s="86">
        <v>-9.2522419240634781E-3</v>
      </c>
    </row>
    <row r="257" spans="2:18">
      <c r="B257" s="85">
        <v>44931</v>
      </c>
      <c r="C257" s="47">
        <v>17992.150390999999</v>
      </c>
      <c r="D257" s="8">
        <f t="shared" si="10"/>
        <v>-2.8154392823156486E-3</v>
      </c>
      <c r="E257" s="41"/>
      <c r="F257" s="41"/>
      <c r="I257" s="85">
        <f t="shared" si="9"/>
        <v>44931</v>
      </c>
      <c r="J257" s="47">
        <v>22.56176</v>
      </c>
      <c r="K257" s="8">
        <f t="shared" si="11"/>
        <v>-1.3009497380173323E-2</v>
      </c>
      <c r="P257" s="86">
        <v>228</v>
      </c>
      <c r="Q257" s="86">
        <v>-5.597410542916777E-4</v>
      </c>
      <c r="R257" s="86">
        <v>-9.236153011424629E-3</v>
      </c>
    </row>
    <row r="258" spans="2:18">
      <c r="B258" s="85">
        <v>44932</v>
      </c>
      <c r="C258" s="47">
        <v>17859.449218999998</v>
      </c>
      <c r="D258" s="8">
        <f t="shared" si="10"/>
        <v>-7.3755037122400051E-3</v>
      </c>
      <c r="E258" s="41"/>
      <c r="F258" s="41"/>
      <c r="I258" s="85">
        <f t="shared" si="9"/>
        <v>44932</v>
      </c>
      <c r="J258" s="47">
        <v>22.799669000000002</v>
      </c>
      <c r="K258" s="8">
        <f t="shared" si="11"/>
        <v>1.0544789059009666E-2</v>
      </c>
      <c r="P258" s="86">
        <v>229</v>
      </c>
      <c r="Q258" s="86">
        <v>-1.130256850990496E-3</v>
      </c>
      <c r="R258" s="86">
        <v>-2.1673025384066598E-3</v>
      </c>
    </row>
    <row r="259" spans="2:18">
      <c r="B259" s="85">
        <v>44935</v>
      </c>
      <c r="C259" s="47">
        <v>18101.199218999998</v>
      </c>
      <c r="D259" s="8">
        <f t="shared" si="10"/>
        <v>1.3536251708300794E-2</v>
      </c>
      <c r="E259" s="41"/>
      <c r="F259" s="41"/>
      <c r="I259" s="85">
        <f t="shared" si="9"/>
        <v>44935</v>
      </c>
      <c r="J259" s="47">
        <v>22.948361999999999</v>
      </c>
      <c r="K259" s="8">
        <f t="shared" si="11"/>
        <v>6.5217174863371023E-3</v>
      </c>
      <c r="P259" s="86">
        <v>230</v>
      </c>
      <c r="Q259" s="86">
        <v>-1.3485879444379203E-3</v>
      </c>
      <c r="R259" s="86">
        <v>9.6197611026401161E-3</v>
      </c>
    </row>
    <row r="260" spans="2:18">
      <c r="B260" s="85">
        <v>44936</v>
      </c>
      <c r="C260" s="47">
        <v>17914.150390999999</v>
      </c>
      <c r="D260" s="8">
        <f t="shared" si="10"/>
        <v>-1.0333504743910142E-2</v>
      </c>
      <c r="E260" s="41"/>
      <c r="F260" s="41"/>
      <c r="I260" s="85">
        <f t="shared" si="9"/>
        <v>44936</v>
      </c>
      <c r="J260" s="47">
        <v>22.621237000000001</v>
      </c>
      <c r="K260" s="8">
        <f t="shared" si="11"/>
        <v>-1.42548300397213E-2</v>
      </c>
      <c r="P260" s="86">
        <v>231</v>
      </c>
      <c r="Q260" s="86">
        <v>-1.6047237286341315E-4</v>
      </c>
      <c r="R260" s="86">
        <v>1.2055547971448829E-2</v>
      </c>
    </row>
    <row r="261" spans="2:18">
      <c r="B261" s="85">
        <v>44937</v>
      </c>
      <c r="C261" s="47">
        <v>17895.699218999998</v>
      </c>
      <c r="D261" s="8">
        <f t="shared" si="10"/>
        <v>-1.0299775092471452E-3</v>
      </c>
      <c r="E261" s="41"/>
      <c r="F261" s="41"/>
      <c r="I261" s="85">
        <f t="shared" si="9"/>
        <v>44937</v>
      </c>
      <c r="J261" s="47">
        <v>22.93845</v>
      </c>
      <c r="K261" s="8">
        <f t="shared" si="11"/>
        <v>1.4022796366087267E-2</v>
      </c>
      <c r="P261" s="86">
        <v>232</v>
      </c>
      <c r="Q261" s="86">
        <v>-1.6263753846442134E-3</v>
      </c>
      <c r="R261" s="86">
        <v>2.0316892158069554E-3</v>
      </c>
    </row>
    <row r="262" spans="2:18">
      <c r="B262" s="85">
        <v>44938</v>
      </c>
      <c r="C262" s="47">
        <v>17858.199218999998</v>
      </c>
      <c r="D262" s="8">
        <f t="shared" si="10"/>
        <v>-2.0954755408598936E-3</v>
      </c>
      <c r="E262" s="41"/>
      <c r="F262" s="41"/>
      <c r="I262" s="85">
        <f t="shared" si="9"/>
        <v>44938</v>
      </c>
      <c r="J262" s="47">
        <v>22.621237000000001</v>
      </c>
      <c r="K262" s="8">
        <f t="shared" si="11"/>
        <v>-1.3828876842157986E-2</v>
      </c>
      <c r="P262" s="86">
        <v>233</v>
      </c>
      <c r="Q262" s="86">
        <v>-5.9938749419923606E-4</v>
      </c>
      <c r="R262" s="86">
        <v>-5.4783881526463893E-3</v>
      </c>
    </row>
    <row r="263" spans="2:18">
      <c r="B263" s="85">
        <v>44939</v>
      </c>
      <c r="C263" s="47">
        <v>17956.599609000001</v>
      </c>
      <c r="D263" s="8">
        <f t="shared" si="10"/>
        <v>5.5100958833134029E-3</v>
      </c>
      <c r="E263" s="41"/>
      <c r="F263" s="41"/>
      <c r="I263" s="85">
        <f t="shared" ref="I263:I326" si="12">B263</f>
        <v>44939</v>
      </c>
      <c r="J263" s="47">
        <v>23.176359000000001</v>
      </c>
      <c r="K263" s="8">
        <f t="shared" si="11"/>
        <v>2.453986048596727E-2</v>
      </c>
      <c r="P263" s="86">
        <v>234</v>
      </c>
      <c r="Q263" s="86">
        <v>4.0642434389321161E-4</v>
      </c>
      <c r="R263" s="86">
        <v>8.1653915847233001E-4</v>
      </c>
    </row>
    <row r="264" spans="2:18">
      <c r="B264" s="85">
        <v>44942</v>
      </c>
      <c r="C264" s="47">
        <v>17894.849609000001</v>
      </c>
      <c r="D264" s="8">
        <f t="shared" ref="D264:D327" si="13">(C264-C263)/C263</f>
        <v>-3.438847072641213E-3</v>
      </c>
      <c r="E264" s="41"/>
      <c r="F264" s="41"/>
      <c r="I264" s="85">
        <f t="shared" si="12"/>
        <v>44942</v>
      </c>
      <c r="J264" s="47">
        <v>23.017752000000002</v>
      </c>
      <c r="K264" s="8">
        <f t="shared" ref="K264:K327" si="14">(J264-J263)/J263</f>
        <v>-6.8434821880347958E-3</v>
      </c>
      <c r="P264" s="86">
        <v>235</v>
      </c>
      <c r="Q264" s="86">
        <v>-1.303219311300707E-4</v>
      </c>
      <c r="R264" s="86">
        <v>1.2345347421269446E-2</v>
      </c>
    </row>
    <row r="265" spans="2:18">
      <c r="B265" s="85">
        <v>44943</v>
      </c>
      <c r="C265" s="47">
        <v>18053.300781000002</v>
      </c>
      <c r="D265" s="8">
        <f t="shared" si="13"/>
        <v>8.8545685189949756E-3</v>
      </c>
      <c r="E265" s="41"/>
      <c r="F265" s="41"/>
      <c r="I265" s="85">
        <f t="shared" si="12"/>
        <v>44943</v>
      </c>
      <c r="J265" s="47">
        <v>24.504688000000002</v>
      </c>
      <c r="K265" s="8">
        <f t="shared" si="14"/>
        <v>6.459953170057614E-2</v>
      </c>
      <c r="P265" s="86">
        <v>236</v>
      </c>
      <c r="Q265" s="86">
        <v>-2.8226441705597231E-3</v>
      </c>
      <c r="R265" s="86">
        <v>-7.9762536211038957E-4</v>
      </c>
    </row>
    <row r="266" spans="2:18">
      <c r="B266" s="85">
        <v>44944</v>
      </c>
      <c r="C266" s="47">
        <v>18165.349609000001</v>
      </c>
      <c r="D266" s="8">
        <f t="shared" si="13"/>
        <v>6.2065563167220707E-3</v>
      </c>
      <c r="E266" s="41"/>
      <c r="F266" s="41"/>
      <c r="I266" s="85">
        <f t="shared" si="12"/>
        <v>44944</v>
      </c>
      <c r="J266" s="47">
        <v>24.494774</v>
      </c>
      <c r="K266" s="8">
        <f t="shared" si="14"/>
        <v>-4.0457564691303053E-4</v>
      </c>
      <c r="P266" s="86">
        <v>237</v>
      </c>
      <c r="Q266" s="86">
        <v>-1.940814382168934E-3</v>
      </c>
      <c r="R266" s="86">
        <v>-7.7776857401564998E-5</v>
      </c>
    </row>
    <row r="267" spans="2:18">
      <c r="B267" s="85">
        <v>44945</v>
      </c>
      <c r="C267" s="47">
        <v>18107.849609000001</v>
      </c>
      <c r="D267" s="8">
        <f t="shared" si="13"/>
        <v>-3.1653670993214296E-3</v>
      </c>
      <c r="E267" s="41"/>
      <c r="F267" s="41"/>
      <c r="I267" s="85">
        <f t="shared" si="12"/>
        <v>44945</v>
      </c>
      <c r="J267" s="47">
        <v>24.673206</v>
      </c>
      <c r="K267" s="8">
        <f t="shared" si="14"/>
        <v>7.2844926023812595E-3</v>
      </c>
      <c r="P267" s="86">
        <v>238</v>
      </c>
      <c r="Q267" s="86">
        <v>7.938983089408213E-4</v>
      </c>
      <c r="R267" s="86">
        <v>7.2967168419233374E-3</v>
      </c>
    </row>
    <row r="268" spans="2:18">
      <c r="B268" s="85">
        <v>44946</v>
      </c>
      <c r="C268" s="47">
        <v>18027.650390999999</v>
      </c>
      <c r="D268" s="8">
        <f t="shared" si="13"/>
        <v>-4.4289752638624075E-3</v>
      </c>
      <c r="E268" s="41"/>
      <c r="F268" s="41"/>
      <c r="I268" s="85">
        <f t="shared" si="12"/>
        <v>44946</v>
      </c>
      <c r="J268" s="47">
        <v>24.415472000000001</v>
      </c>
      <c r="K268" s="8">
        <f t="shared" si="14"/>
        <v>-1.0445906381197452E-2</v>
      </c>
      <c r="P268" s="86">
        <v>239</v>
      </c>
      <c r="Q268" s="86">
        <v>-9.2626246286723506E-4</v>
      </c>
      <c r="R268" s="86">
        <v>-1.1914756579962731E-2</v>
      </c>
    </row>
    <row r="269" spans="2:18">
      <c r="B269" s="85">
        <v>44949</v>
      </c>
      <c r="C269" s="47">
        <v>18118.550781000002</v>
      </c>
      <c r="D269" s="8">
        <f t="shared" si="13"/>
        <v>5.0422760608549964E-3</v>
      </c>
      <c r="E269" s="41"/>
      <c r="F269" s="41"/>
      <c r="I269" s="85">
        <f t="shared" si="12"/>
        <v>44949</v>
      </c>
      <c r="J269" s="47">
        <v>24.534427999999998</v>
      </c>
      <c r="K269" s="8">
        <f t="shared" si="14"/>
        <v>4.8721564752054426E-3</v>
      </c>
      <c r="P269" s="86">
        <v>240</v>
      </c>
      <c r="Q269" s="86">
        <v>-2.3127034096255446E-3</v>
      </c>
      <c r="R269" s="86">
        <v>-2.8988178027821363E-2</v>
      </c>
    </row>
    <row r="270" spans="2:18">
      <c r="B270" s="85">
        <v>44950</v>
      </c>
      <c r="C270" s="47">
        <v>18118.300781000002</v>
      </c>
      <c r="D270" s="8">
        <f t="shared" si="13"/>
        <v>-1.3798013043193401E-5</v>
      </c>
      <c r="E270" s="41"/>
      <c r="F270" s="41"/>
      <c r="I270" s="85">
        <f t="shared" si="12"/>
        <v>44950</v>
      </c>
      <c r="J270" s="47">
        <v>24.792162000000001</v>
      </c>
      <c r="K270" s="8">
        <f t="shared" si="14"/>
        <v>1.0504993228291395E-2</v>
      </c>
      <c r="P270" s="86">
        <v>241</v>
      </c>
      <c r="Q270" s="86">
        <v>-1.2694118929275459E-3</v>
      </c>
      <c r="R270" s="86">
        <v>-1.2578649526638017E-2</v>
      </c>
    </row>
    <row r="271" spans="2:18">
      <c r="B271" s="85">
        <v>44951</v>
      </c>
      <c r="C271" s="47">
        <v>17891.949218999998</v>
      </c>
      <c r="D271" s="8">
        <f t="shared" si="13"/>
        <v>-1.2492979597588426E-2</v>
      </c>
      <c r="E271" s="41"/>
      <c r="F271" s="41"/>
      <c r="I271" s="85">
        <f t="shared" si="12"/>
        <v>44951</v>
      </c>
      <c r="J271" s="47">
        <v>25.158939</v>
      </c>
      <c r="K271" s="8">
        <f t="shared" si="14"/>
        <v>1.4794070803506327E-2</v>
      </c>
      <c r="P271" s="86">
        <v>242</v>
      </c>
      <c r="Q271" s="86">
        <v>-3.5871174178560457E-3</v>
      </c>
      <c r="R271" s="86">
        <v>2.6565857992945929E-2</v>
      </c>
    </row>
    <row r="272" spans="2:18">
      <c r="B272" s="85">
        <v>44953</v>
      </c>
      <c r="C272" s="47">
        <v>17604.349609000001</v>
      </c>
      <c r="D272" s="8">
        <f t="shared" si="13"/>
        <v>-1.6074246940885949E-2</v>
      </c>
      <c r="E272" s="41"/>
      <c r="F272" s="41"/>
      <c r="I272" s="85">
        <f t="shared" si="12"/>
        <v>44953</v>
      </c>
      <c r="J272" s="47">
        <v>25.525717</v>
      </c>
      <c r="K272" s="8">
        <f t="shared" si="14"/>
        <v>1.4578436713885274E-2</v>
      </c>
      <c r="P272" s="86">
        <v>243</v>
      </c>
      <c r="Q272" s="86">
        <v>1.3639652185901407E-3</v>
      </c>
      <c r="R272" s="86">
        <v>-1.3011295131896486E-2</v>
      </c>
    </row>
    <row r="273" spans="2:18">
      <c r="B273" s="85">
        <v>44956</v>
      </c>
      <c r="C273" s="47">
        <v>17648.949218999998</v>
      </c>
      <c r="D273" s="8">
        <f t="shared" si="13"/>
        <v>2.5334426429020982E-3</v>
      </c>
      <c r="E273" s="41"/>
      <c r="F273" s="41"/>
      <c r="I273" s="85">
        <f t="shared" si="12"/>
        <v>44956</v>
      </c>
      <c r="J273" s="47">
        <v>25.723976</v>
      </c>
      <c r="K273" s="8">
        <f t="shared" si="14"/>
        <v>7.7670296195793513E-3</v>
      </c>
      <c r="P273" s="86">
        <v>244</v>
      </c>
      <c r="Q273" s="86">
        <v>4.9765404027530115E-4</v>
      </c>
      <c r="R273" s="86">
        <v>1.9704443785785342E-2</v>
      </c>
    </row>
    <row r="274" spans="2:18">
      <c r="B274" s="85">
        <v>44957</v>
      </c>
      <c r="C274" s="47">
        <v>17662.150390999999</v>
      </c>
      <c r="D274" s="8">
        <f t="shared" si="13"/>
        <v>7.479862872396513E-4</v>
      </c>
      <c r="E274" s="41"/>
      <c r="F274" s="41"/>
      <c r="I274" s="85">
        <f t="shared" si="12"/>
        <v>44957</v>
      </c>
      <c r="J274" s="47">
        <v>25.595106000000001</v>
      </c>
      <c r="K274" s="8">
        <f t="shared" si="14"/>
        <v>-5.0097232247456281E-3</v>
      </c>
      <c r="P274" s="86">
        <v>245</v>
      </c>
      <c r="Q274" s="86">
        <v>-6.9558158619354186E-4</v>
      </c>
      <c r="R274" s="86">
        <v>-1.0030557429082761E-2</v>
      </c>
    </row>
    <row r="275" spans="2:18">
      <c r="B275" s="85">
        <v>44958</v>
      </c>
      <c r="C275" s="47">
        <v>17616.300781000002</v>
      </c>
      <c r="D275" s="8">
        <f t="shared" si="13"/>
        <v>-2.5959245609957441E-3</v>
      </c>
      <c r="E275" s="41"/>
      <c r="F275" s="41"/>
      <c r="I275" s="85">
        <f t="shared" si="12"/>
        <v>44958</v>
      </c>
      <c r="J275" s="47">
        <v>26.090751999999998</v>
      </c>
      <c r="K275" s="8">
        <f t="shared" si="14"/>
        <v>1.9364873894251389E-2</v>
      </c>
      <c r="P275" s="86">
        <v>246</v>
      </c>
      <c r="Q275" s="86">
        <v>3.3152935172444417E-5</v>
      </c>
      <c r="R275" s="86">
        <v>-3.0892178459954879E-2</v>
      </c>
    </row>
    <row r="276" spans="2:18">
      <c r="B276" s="85">
        <v>44959</v>
      </c>
      <c r="C276" s="47">
        <v>17610.400390999999</v>
      </c>
      <c r="D276" s="8">
        <f t="shared" si="13"/>
        <v>-3.3493921756640085E-4</v>
      </c>
      <c r="E276" s="41"/>
      <c r="F276" s="41"/>
      <c r="I276" s="85">
        <f t="shared" si="12"/>
        <v>44959</v>
      </c>
      <c r="J276" s="47">
        <v>25.228331000000001</v>
      </c>
      <c r="K276" s="8">
        <f t="shared" si="14"/>
        <v>-3.3054662433646902E-2</v>
      </c>
      <c r="P276" s="86">
        <v>247</v>
      </c>
      <c r="Q276" s="86">
        <v>-1.3990513239319619E-3</v>
      </c>
      <c r="R276" s="86">
        <v>-1.6673246984844327E-2</v>
      </c>
    </row>
    <row r="277" spans="2:18">
      <c r="B277" s="85">
        <v>44960</v>
      </c>
      <c r="C277" s="47">
        <v>17854.050781000002</v>
      </c>
      <c r="D277" s="8">
        <f t="shared" si="13"/>
        <v>1.3835596272105368E-2</v>
      </c>
      <c r="E277" s="41"/>
      <c r="F277" s="41"/>
      <c r="I277" s="85">
        <f t="shared" si="12"/>
        <v>44960</v>
      </c>
      <c r="J277" s="47">
        <v>25.486065</v>
      </c>
      <c r="K277" s="8">
        <f t="shared" si="14"/>
        <v>1.0216054324005786E-2</v>
      </c>
      <c r="P277" s="86">
        <v>248</v>
      </c>
      <c r="Q277" s="86">
        <v>2.5407531151135998E-4</v>
      </c>
      <c r="R277" s="86">
        <v>1.1139466076167738E-2</v>
      </c>
    </row>
    <row r="278" spans="2:18">
      <c r="B278" s="85">
        <v>44963</v>
      </c>
      <c r="C278" s="47">
        <v>17764.599609000001</v>
      </c>
      <c r="D278" s="8">
        <f t="shared" si="13"/>
        <v>-5.0101331679415564E-3</v>
      </c>
      <c r="E278" s="41"/>
      <c r="F278" s="41"/>
      <c r="I278" s="85">
        <f t="shared" si="12"/>
        <v>44963</v>
      </c>
      <c r="J278" s="47">
        <v>26.348488</v>
      </c>
      <c r="K278" s="8">
        <f t="shared" si="14"/>
        <v>3.383900182315315E-2</v>
      </c>
      <c r="P278" s="86">
        <v>249</v>
      </c>
      <c r="Q278" s="86">
        <v>-2.7904833054686852E-4</v>
      </c>
      <c r="R278" s="86">
        <v>-1.7918534227026859E-2</v>
      </c>
    </row>
    <row r="279" spans="2:18">
      <c r="B279" s="85">
        <v>44964</v>
      </c>
      <c r="C279" s="47">
        <v>17721.5</v>
      </c>
      <c r="D279" s="8">
        <f t="shared" si="13"/>
        <v>-2.4261514443683504E-3</v>
      </c>
      <c r="E279" s="41"/>
      <c r="F279" s="41"/>
      <c r="I279" s="85">
        <f t="shared" si="12"/>
        <v>44964</v>
      </c>
      <c r="J279" s="47">
        <v>26.477353999999998</v>
      </c>
      <c r="K279" s="8">
        <f t="shared" si="14"/>
        <v>4.8908309273761209E-3</v>
      </c>
      <c r="P279" s="86">
        <v>250</v>
      </c>
      <c r="Q279" s="86">
        <v>-2.3584733410542246E-3</v>
      </c>
      <c r="R279" s="86">
        <v>2.0010679798970969E-2</v>
      </c>
    </row>
    <row r="280" spans="2:18">
      <c r="B280" s="85">
        <v>44965</v>
      </c>
      <c r="C280" s="47">
        <v>17871.699218999998</v>
      </c>
      <c r="D280" s="8">
        <f t="shared" si="13"/>
        <v>8.4755364387889432E-3</v>
      </c>
      <c r="E280" s="41"/>
      <c r="F280" s="41"/>
      <c r="I280" s="85">
        <f t="shared" si="12"/>
        <v>44965</v>
      </c>
      <c r="J280" s="47">
        <v>26.219619999999999</v>
      </c>
      <c r="K280" s="8">
        <f t="shared" si="14"/>
        <v>-9.7341297774694267E-3</v>
      </c>
      <c r="P280" s="86">
        <v>251</v>
      </c>
      <c r="Q280" s="86">
        <v>-1.0793044551154712E-3</v>
      </c>
      <c r="R280" s="86">
        <v>-1.1930192925057852E-2</v>
      </c>
    </row>
    <row r="281" spans="2:18">
      <c r="B281" s="85">
        <v>44966</v>
      </c>
      <c r="C281" s="47">
        <v>17893.449218999998</v>
      </c>
      <c r="D281" s="8">
        <f t="shared" si="13"/>
        <v>1.2170079483475669E-3</v>
      </c>
      <c r="E281" s="41"/>
      <c r="F281" s="41"/>
      <c r="I281" s="85">
        <f t="shared" si="12"/>
        <v>44966</v>
      </c>
      <c r="J281" s="47">
        <v>26.903607999999998</v>
      </c>
      <c r="K281" s="8">
        <f t="shared" si="14"/>
        <v>2.6086876926515311E-2</v>
      </c>
      <c r="P281" s="86">
        <v>252</v>
      </c>
      <c r="Q281" s="86">
        <v>-1.8484733623748907E-3</v>
      </c>
      <c r="R281" s="86">
        <v>1.2393262421384556E-2</v>
      </c>
    </row>
    <row r="282" spans="2:18">
      <c r="B282" s="85">
        <v>44967</v>
      </c>
      <c r="C282" s="47">
        <v>17856.5</v>
      </c>
      <c r="D282" s="8">
        <f t="shared" si="13"/>
        <v>-2.0649578819473256E-3</v>
      </c>
      <c r="E282" s="41"/>
      <c r="F282" s="41"/>
      <c r="I282" s="85">
        <f t="shared" si="12"/>
        <v>44967</v>
      </c>
      <c r="J282" s="47">
        <v>27.647078</v>
      </c>
      <c r="K282" s="8">
        <f t="shared" si="14"/>
        <v>2.7634583435797985E-2</v>
      </c>
      <c r="P282" s="86">
        <v>253</v>
      </c>
      <c r="Q282" s="86">
        <v>1.6788171645180424E-3</v>
      </c>
      <c r="R282" s="86">
        <v>4.8429003218190599E-3</v>
      </c>
    </row>
    <row r="283" spans="2:18">
      <c r="B283" s="85">
        <v>44970</v>
      </c>
      <c r="C283" s="47">
        <v>17770.900390999999</v>
      </c>
      <c r="D283" s="8">
        <f t="shared" si="13"/>
        <v>-4.7937506790244888E-3</v>
      </c>
      <c r="E283" s="41"/>
      <c r="F283" s="41"/>
      <c r="I283" s="85">
        <f t="shared" si="12"/>
        <v>44970</v>
      </c>
      <c r="J283" s="47">
        <v>27.409168000000001</v>
      </c>
      <c r="K283" s="8">
        <f t="shared" si="14"/>
        <v>-8.6052493504014931E-3</v>
      </c>
      <c r="P283" s="86">
        <v>254</v>
      </c>
      <c r="Q283" s="86">
        <v>-2.3474142120417222E-3</v>
      </c>
      <c r="R283" s="86">
        <v>-1.1907415827679579E-2</v>
      </c>
    </row>
    <row r="284" spans="2:18">
      <c r="B284" s="85">
        <v>44971</v>
      </c>
      <c r="C284" s="47">
        <v>17929.849609000001</v>
      </c>
      <c r="D284" s="8">
        <f t="shared" si="13"/>
        <v>8.9443536626034291E-3</v>
      </c>
      <c r="E284" s="41"/>
      <c r="F284" s="41"/>
      <c r="I284" s="85">
        <f t="shared" si="12"/>
        <v>44971</v>
      </c>
      <c r="J284" s="47">
        <v>26.963087000000002</v>
      </c>
      <c r="K284" s="8">
        <f t="shared" si="14"/>
        <v>-1.6274882915088832E-2</v>
      </c>
      <c r="P284" s="86">
        <v>255</v>
      </c>
      <c r="Q284" s="86">
        <v>-7.7814167506077203E-4</v>
      </c>
      <c r="R284" s="86">
        <v>1.4800938041148039E-2</v>
      </c>
    </row>
    <row r="285" spans="2:18">
      <c r="B285" s="85">
        <v>44972</v>
      </c>
      <c r="C285" s="47">
        <v>18015.849609000001</v>
      </c>
      <c r="D285" s="8">
        <f t="shared" si="13"/>
        <v>4.7964707945364893E-3</v>
      </c>
      <c r="E285" s="41"/>
      <c r="F285" s="41"/>
      <c r="I285" s="85">
        <f t="shared" si="12"/>
        <v>44972</v>
      </c>
      <c r="J285" s="47">
        <v>27.072127999999999</v>
      </c>
      <c r="K285" s="8">
        <f t="shared" si="14"/>
        <v>4.044084418078602E-3</v>
      </c>
      <c r="P285" s="86">
        <v>256</v>
      </c>
      <c r="Q285" s="86">
        <v>-9.5786456478236194E-4</v>
      </c>
      <c r="R285" s="86">
        <v>-1.2871012277375624E-2</v>
      </c>
    </row>
    <row r="286" spans="2:18">
      <c r="B286" s="85">
        <v>44973</v>
      </c>
      <c r="C286" s="47">
        <v>18035.849609000001</v>
      </c>
      <c r="D286" s="8">
        <f t="shared" si="13"/>
        <v>1.1101336009159844E-3</v>
      </c>
      <c r="E286" s="41"/>
      <c r="F286" s="41"/>
      <c r="I286" s="85">
        <f t="shared" si="12"/>
        <v>44973</v>
      </c>
      <c r="J286" s="47">
        <v>28.053505000000001</v>
      </c>
      <c r="K286" s="8">
        <f t="shared" si="14"/>
        <v>3.6250456558125095E-2</v>
      </c>
      <c r="P286" s="86">
        <v>257</v>
      </c>
      <c r="Q286" s="86">
        <v>3.2500526114066374E-4</v>
      </c>
      <c r="R286" s="86">
        <v>2.4214855224826606E-2</v>
      </c>
    </row>
    <row r="287" spans="2:18">
      <c r="B287" s="85">
        <v>44974</v>
      </c>
      <c r="C287" s="47">
        <v>17944.199218999998</v>
      </c>
      <c r="D287" s="8">
        <f t="shared" si="13"/>
        <v>-5.0815676548039302E-3</v>
      </c>
      <c r="E287" s="41"/>
      <c r="F287" s="41"/>
      <c r="I287" s="85">
        <f t="shared" si="12"/>
        <v>44974</v>
      </c>
      <c r="J287" s="47">
        <v>27.894898999999999</v>
      </c>
      <c r="K287" s="8">
        <f t="shared" si="14"/>
        <v>-5.6536963919482592E-3</v>
      </c>
      <c r="P287" s="86">
        <v>258</v>
      </c>
      <c r="Q287" s="86">
        <v>-1.1844577695544248E-3</v>
      </c>
      <c r="R287" s="86">
        <v>-5.6590244184803705E-3</v>
      </c>
    </row>
    <row r="288" spans="2:18">
      <c r="B288" s="85">
        <v>44977</v>
      </c>
      <c r="C288" s="47">
        <v>17844.599609000001</v>
      </c>
      <c r="D288" s="8">
        <f t="shared" si="13"/>
        <v>-5.5505185148935288E-3</v>
      </c>
      <c r="E288" s="41"/>
      <c r="F288" s="41"/>
      <c r="I288" s="85">
        <f t="shared" si="12"/>
        <v>44977</v>
      </c>
      <c r="J288" s="47">
        <v>27.111782000000002</v>
      </c>
      <c r="K288" s="8">
        <f t="shared" si="14"/>
        <v>-2.8073842461304385E-2</v>
      </c>
      <c r="P288" s="86">
        <v>259</v>
      </c>
      <c r="Q288" s="86">
        <v>8.8913421196535594E-4</v>
      </c>
      <c r="R288" s="86">
        <v>6.3710397488610779E-2</v>
      </c>
    </row>
    <row r="289" spans="2:18">
      <c r="B289" s="85">
        <v>44978</v>
      </c>
      <c r="C289" s="47">
        <v>17826.699218999998</v>
      </c>
      <c r="D289" s="8">
        <f t="shared" si="13"/>
        <v>-1.0031264579886891E-3</v>
      </c>
      <c r="E289" s="41"/>
      <c r="F289" s="41"/>
      <c r="I289" s="85">
        <f t="shared" si="12"/>
        <v>44978</v>
      </c>
      <c r="J289" s="47">
        <v>26.982911999999999</v>
      </c>
      <c r="K289" s="8">
        <f t="shared" si="14"/>
        <v>-4.7532840150456617E-3</v>
      </c>
      <c r="P289" s="86">
        <v>260</v>
      </c>
      <c r="Q289" s="86">
        <v>4.424807307851251E-4</v>
      </c>
      <c r="R289" s="86">
        <v>-8.4705637769815563E-4</v>
      </c>
    </row>
    <row r="290" spans="2:18">
      <c r="B290" s="85">
        <v>44979</v>
      </c>
      <c r="C290" s="47">
        <v>17554.300781000002</v>
      </c>
      <c r="D290" s="8">
        <f t="shared" si="13"/>
        <v>-1.5280363159415942E-2</v>
      </c>
      <c r="E290" s="41"/>
      <c r="F290" s="41"/>
      <c r="I290" s="85">
        <f t="shared" si="12"/>
        <v>44979</v>
      </c>
      <c r="J290" s="47">
        <v>27.012651000000002</v>
      </c>
      <c r="K290" s="8">
        <f t="shared" si="14"/>
        <v>1.1021419778563131E-3</v>
      </c>
      <c r="P290" s="86">
        <v>261</v>
      </c>
      <c r="Q290" s="86">
        <v>-1.1383285326832689E-3</v>
      </c>
      <c r="R290" s="86">
        <v>8.4228211350645277E-3</v>
      </c>
    </row>
    <row r="291" spans="2:18">
      <c r="B291" s="85">
        <v>44980</v>
      </c>
      <c r="C291" s="47">
        <v>17511.25</v>
      </c>
      <c r="D291" s="8">
        <f t="shared" si="13"/>
        <v>-2.4524349637781071E-3</v>
      </c>
      <c r="E291" s="41"/>
      <c r="F291" s="41"/>
      <c r="I291" s="85">
        <f t="shared" si="12"/>
        <v>44980</v>
      </c>
      <c r="J291" s="47">
        <v>26.963087000000002</v>
      </c>
      <c r="K291" s="8">
        <f t="shared" si="14"/>
        <v>-1.8348439773645379E-3</v>
      </c>
      <c r="P291" s="86">
        <v>262</v>
      </c>
      <c r="Q291" s="86">
        <v>-1.3514676507944108E-3</v>
      </c>
      <c r="R291" s="86">
        <v>-9.09443873040304E-3</v>
      </c>
    </row>
    <row r="292" spans="2:18">
      <c r="B292" s="85">
        <v>44981</v>
      </c>
      <c r="C292" s="47">
        <v>17465.800781000002</v>
      </c>
      <c r="D292" s="8">
        <f t="shared" si="13"/>
        <v>-2.5954297380254561E-3</v>
      </c>
      <c r="E292" s="41"/>
      <c r="F292" s="41"/>
      <c r="I292" s="85">
        <f t="shared" si="12"/>
        <v>44981</v>
      </c>
      <c r="J292" s="47">
        <v>26.675612999999998</v>
      </c>
      <c r="K292" s="8">
        <f t="shared" si="14"/>
        <v>-1.0661761392529093E-2</v>
      </c>
      <c r="P292" s="86">
        <v>263</v>
      </c>
      <c r="Q292" s="86">
        <v>2.460957485308612E-4</v>
      </c>
      <c r="R292" s="86">
        <v>4.6260607266745812E-3</v>
      </c>
    </row>
    <row r="293" spans="2:18">
      <c r="B293" s="85">
        <v>44984</v>
      </c>
      <c r="C293" s="47">
        <v>17392.699218999998</v>
      </c>
      <c r="D293" s="8">
        <f t="shared" si="13"/>
        <v>-4.1854114172380965E-3</v>
      </c>
      <c r="E293" s="41"/>
      <c r="F293" s="41"/>
      <c r="I293" s="85">
        <f t="shared" si="12"/>
        <v>44984</v>
      </c>
      <c r="J293" s="47">
        <v>26.665699</v>
      </c>
      <c r="K293" s="8">
        <f t="shared" si="14"/>
        <v>-3.7165031596456377E-4</v>
      </c>
      <c r="P293" s="86">
        <v>264</v>
      </c>
      <c r="Q293" s="86">
        <v>-6.067375897269193E-4</v>
      </c>
      <c r="R293" s="86">
        <v>1.1111730818018315E-2</v>
      </c>
    </row>
    <row r="294" spans="2:18">
      <c r="B294" s="85">
        <v>44985</v>
      </c>
      <c r="C294" s="47">
        <v>17303.949218999998</v>
      </c>
      <c r="D294" s="8">
        <f t="shared" si="13"/>
        <v>-5.1027157362123765E-3</v>
      </c>
      <c r="E294" s="41"/>
      <c r="F294" s="41"/>
      <c r="I294" s="85">
        <f t="shared" si="12"/>
        <v>44985</v>
      </c>
      <c r="J294" s="47">
        <v>26.665699</v>
      </c>
      <c r="K294" s="8">
        <f t="shared" si="14"/>
        <v>0</v>
      </c>
      <c r="P294" s="86">
        <v>265</v>
      </c>
      <c r="Q294" s="86">
        <v>-2.7116636517114756E-3</v>
      </c>
      <c r="R294" s="86">
        <v>1.7505734455217803E-2</v>
      </c>
    </row>
    <row r="295" spans="2:18">
      <c r="B295" s="85">
        <v>44986</v>
      </c>
      <c r="C295" s="47">
        <v>17450.900390999999</v>
      </c>
      <c r="D295" s="8">
        <f t="shared" si="13"/>
        <v>8.4923487777371857E-3</v>
      </c>
      <c r="E295" s="41"/>
      <c r="F295" s="41"/>
      <c r="I295" s="85">
        <f t="shared" si="12"/>
        <v>44986</v>
      </c>
      <c r="J295" s="47">
        <v>27.012651000000002</v>
      </c>
      <c r="K295" s="8">
        <f t="shared" si="14"/>
        <v>1.30111721429092E-2</v>
      </c>
      <c r="P295" s="86">
        <v>266</v>
      </c>
      <c r="Q295" s="86">
        <v>-3.3157339518966188E-3</v>
      </c>
      <c r="R295" s="86">
        <v>1.7894170665781892E-2</v>
      </c>
    </row>
    <row r="296" spans="2:18">
      <c r="B296" s="85">
        <v>44987</v>
      </c>
      <c r="C296" s="47">
        <v>17321.900390999999</v>
      </c>
      <c r="D296" s="8">
        <f t="shared" si="13"/>
        <v>-7.3921687196455222E-3</v>
      </c>
      <c r="E296" s="41"/>
      <c r="F296" s="41"/>
      <c r="I296" s="85">
        <f t="shared" si="12"/>
        <v>44987</v>
      </c>
      <c r="J296" s="47">
        <v>27.260475</v>
      </c>
      <c r="K296" s="8">
        <f t="shared" si="14"/>
        <v>9.1743679655875987E-3</v>
      </c>
      <c r="P296" s="86">
        <v>267</v>
      </c>
      <c r="Q296" s="86">
        <v>-1.7708174999732417E-4</v>
      </c>
      <c r="R296" s="86">
        <v>7.944111369576675E-3</v>
      </c>
    </row>
    <row r="297" spans="2:18">
      <c r="B297" s="85">
        <v>44988</v>
      </c>
      <c r="C297" s="47">
        <v>17594.349609000001</v>
      </c>
      <c r="D297" s="8">
        <f t="shared" si="13"/>
        <v>1.5728598586189711E-2</v>
      </c>
      <c r="E297" s="41"/>
      <c r="F297" s="41"/>
      <c r="I297" s="85">
        <f t="shared" si="12"/>
        <v>44988</v>
      </c>
      <c r="J297" s="47">
        <v>27.082042999999999</v>
      </c>
      <c r="K297" s="8">
        <f t="shared" si="14"/>
        <v>-6.5454472088252611E-3</v>
      </c>
      <c r="P297" s="86">
        <v>268</v>
      </c>
      <c r="Q297" s="86">
        <v>-4.782436162710098E-4</v>
      </c>
      <c r="R297" s="86">
        <v>-4.5314796084746185E-3</v>
      </c>
    </row>
    <row r="298" spans="2:18">
      <c r="B298" s="85">
        <v>44991</v>
      </c>
      <c r="C298" s="47">
        <v>17711.449218999998</v>
      </c>
      <c r="D298" s="8">
        <f t="shared" si="13"/>
        <v>6.6555236540313924E-3</v>
      </c>
      <c r="E298" s="41"/>
      <c r="F298" s="41"/>
      <c r="I298" s="85">
        <f t="shared" si="12"/>
        <v>44991</v>
      </c>
      <c r="J298" s="47">
        <v>27.101868</v>
      </c>
      <c r="K298" s="8">
        <f t="shared" si="14"/>
        <v>7.320348763939586E-4</v>
      </c>
      <c r="P298" s="86">
        <v>269</v>
      </c>
      <c r="Q298" s="86">
        <v>-1.0422778075933467E-3</v>
      </c>
      <c r="R298" s="86">
        <v>2.0407151701844737E-2</v>
      </c>
    </row>
    <row r="299" spans="2:18">
      <c r="B299" s="85">
        <v>44993</v>
      </c>
      <c r="C299" s="47">
        <v>17754.400390999999</v>
      </c>
      <c r="D299" s="8">
        <f t="shared" si="13"/>
        <v>2.4250512461693411E-3</v>
      </c>
      <c r="E299" s="41"/>
      <c r="F299" s="41"/>
      <c r="I299" s="85">
        <f t="shared" si="12"/>
        <v>44993</v>
      </c>
      <c r="J299" s="47">
        <v>26.774742</v>
      </c>
      <c r="K299" s="8">
        <f t="shared" si="14"/>
        <v>-1.207023811052433E-2</v>
      </c>
      <c r="P299" s="86">
        <v>270</v>
      </c>
      <c r="Q299" s="86">
        <v>-6.6090608518459999E-4</v>
      </c>
      <c r="R299" s="86">
        <v>-3.2393756348462303E-2</v>
      </c>
    </row>
    <row r="300" spans="2:18">
      <c r="B300" s="85">
        <v>44994</v>
      </c>
      <c r="C300" s="47">
        <v>17589.599609000001</v>
      </c>
      <c r="D300" s="8">
        <f t="shared" si="13"/>
        <v>-9.282249942022187E-3</v>
      </c>
      <c r="E300" s="41"/>
      <c r="F300" s="41"/>
      <c r="I300" s="85">
        <f t="shared" si="12"/>
        <v>44994</v>
      </c>
      <c r="J300" s="47">
        <v>26.685525999999999</v>
      </c>
      <c r="K300" s="8">
        <f t="shared" si="14"/>
        <v>-3.3320955996513583E-3</v>
      </c>
      <c r="P300" s="86">
        <v>271</v>
      </c>
      <c r="Q300" s="86">
        <v>1.7293091114135017E-3</v>
      </c>
      <c r="R300" s="86">
        <v>8.4867452125922845E-3</v>
      </c>
    </row>
    <row r="301" spans="2:18">
      <c r="B301" s="85">
        <v>44995</v>
      </c>
      <c r="C301" s="47">
        <v>17412.900390999999</v>
      </c>
      <c r="D301" s="8">
        <f t="shared" si="13"/>
        <v>-1.0045664593160527E-2</v>
      </c>
      <c r="E301" s="41"/>
      <c r="F301" s="41"/>
      <c r="I301" s="85">
        <f t="shared" si="12"/>
        <v>44995</v>
      </c>
      <c r="J301" s="47">
        <v>26.695437999999999</v>
      </c>
      <c r="K301" s="8">
        <f t="shared" si="14"/>
        <v>3.7143731024825673E-4</v>
      </c>
      <c r="P301" s="86">
        <v>272</v>
      </c>
      <c r="Q301" s="86">
        <v>-1.4494944653043866E-3</v>
      </c>
      <c r="R301" s="86">
        <v>3.5288496288457538E-2</v>
      </c>
    </row>
    <row r="302" spans="2:18">
      <c r="B302" s="85">
        <v>44998</v>
      </c>
      <c r="C302" s="47">
        <v>17154.300781000002</v>
      </c>
      <c r="D302" s="8">
        <f t="shared" si="13"/>
        <v>-1.485103596719917E-2</v>
      </c>
      <c r="E302" s="41"/>
      <c r="F302" s="41"/>
      <c r="I302" s="85">
        <f t="shared" si="12"/>
        <v>44998</v>
      </c>
      <c r="J302" s="47">
        <v>27.200997999999998</v>
      </c>
      <c r="K302" s="8">
        <f t="shared" si="14"/>
        <v>1.8938067245796796E-2</v>
      </c>
      <c r="P302" s="86">
        <v>273</v>
      </c>
      <c r="Q302" s="86">
        <v>-1.0136413256740585E-3</v>
      </c>
      <c r="R302" s="86">
        <v>5.9044722530501789E-3</v>
      </c>
    </row>
    <row r="303" spans="2:18">
      <c r="B303" s="85">
        <v>44999</v>
      </c>
      <c r="C303" s="47">
        <v>17043.300781000002</v>
      </c>
      <c r="D303" s="8">
        <f t="shared" si="13"/>
        <v>-6.4706805259555035E-3</v>
      </c>
      <c r="E303" s="41"/>
      <c r="F303" s="41"/>
      <c r="I303" s="85">
        <f t="shared" si="12"/>
        <v>44999</v>
      </c>
      <c r="J303" s="47">
        <v>27.111782000000002</v>
      </c>
      <c r="K303" s="8">
        <f t="shared" si="14"/>
        <v>-3.279879657356574E-3</v>
      </c>
      <c r="P303" s="86">
        <v>274</v>
      </c>
      <c r="Q303" s="86">
        <v>8.2520097254988242E-4</v>
      </c>
      <c r="R303" s="86">
        <v>-1.0559330750019309E-2</v>
      </c>
    </row>
    <row r="304" spans="2:18">
      <c r="B304" s="85">
        <v>45000</v>
      </c>
      <c r="C304" s="47">
        <v>16972.150390999999</v>
      </c>
      <c r="D304" s="8">
        <f t="shared" si="13"/>
        <v>-4.1746837020749817E-3</v>
      </c>
      <c r="E304" s="41"/>
      <c r="F304" s="41"/>
      <c r="I304" s="85">
        <f t="shared" si="12"/>
        <v>45000</v>
      </c>
      <c r="J304" s="47">
        <v>27.587600999999999</v>
      </c>
      <c r="K304" s="8">
        <f t="shared" si="14"/>
        <v>1.7550266522502939E-2</v>
      </c>
      <c r="P304" s="86">
        <v>275</v>
      </c>
      <c r="Q304" s="86">
        <v>-3.9913138351657977E-4</v>
      </c>
      <c r="R304" s="86">
        <v>2.6486008310031891E-2</v>
      </c>
    </row>
    <row r="305" spans="2:18">
      <c r="B305" s="85">
        <v>45001</v>
      </c>
      <c r="C305" s="47">
        <v>16985.599609000001</v>
      </c>
      <c r="D305" s="8">
        <f t="shared" si="13"/>
        <v>7.9242863692354643E-4</v>
      </c>
      <c r="E305" s="41"/>
      <c r="F305" s="41"/>
      <c r="I305" s="85">
        <f t="shared" si="12"/>
        <v>45001</v>
      </c>
      <c r="J305" s="47">
        <v>27.399253999999999</v>
      </c>
      <c r="K305" s="8">
        <f t="shared" si="14"/>
        <v>-6.8272337272095628E-3</v>
      </c>
      <c r="P305" s="86">
        <v>276</v>
      </c>
      <c r="Q305" s="86">
        <v>-9.5271699840065505E-4</v>
      </c>
      <c r="R305" s="86">
        <v>2.8587300434198642E-2</v>
      </c>
    </row>
    <row r="306" spans="2:18">
      <c r="B306" s="85">
        <v>45002</v>
      </c>
      <c r="C306" s="47">
        <v>17100.050781000002</v>
      </c>
      <c r="D306" s="8">
        <f t="shared" si="13"/>
        <v>6.7381296294867204E-3</v>
      </c>
      <c r="E306" s="41"/>
      <c r="F306" s="41"/>
      <c r="I306" s="85">
        <f t="shared" si="12"/>
        <v>45002</v>
      </c>
      <c r="J306" s="47">
        <v>27.339777000000002</v>
      </c>
      <c r="K306" s="8">
        <f t="shared" si="14"/>
        <v>-2.1707525321673928E-3</v>
      </c>
      <c r="P306" s="86">
        <v>277</v>
      </c>
      <c r="Q306" s="86">
        <v>-1.4129961471099715E-3</v>
      </c>
      <c r="R306" s="86">
        <v>-7.1922532032915217E-3</v>
      </c>
    </row>
    <row r="307" spans="2:18">
      <c r="B307" s="85">
        <v>45005</v>
      </c>
      <c r="C307" s="47">
        <v>16988.400390999999</v>
      </c>
      <c r="D307" s="8">
        <f t="shared" si="13"/>
        <v>-6.5292431835382693E-3</v>
      </c>
      <c r="E307" s="41"/>
      <c r="F307" s="41"/>
      <c r="I307" s="85">
        <f t="shared" si="12"/>
        <v>45005</v>
      </c>
      <c r="J307" s="47">
        <v>27.914726000000002</v>
      </c>
      <c r="K307" s="8">
        <f t="shared" si="14"/>
        <v>2.1029761874063573E-2</v>
      </c>
      <c r="P307" s="86">
        <v>278</v>
      </c>
      <c r="Q307" s="86">
        <v>9.042787218420705E-4</v>
      </c>
      <c r="R307" s="86">
        <v>-1.7179161636930902E-2</v>
      </c>
    </row>
    <row r="308" spans="2:18">
      <c r="B308" s="85">
        <v>45006</v>
      </c>
      <c r="C308" s="47">
        <v>17107.5</v>
      </c>
      <c r="D308" s="8">
        <f t="shared" si="13"/>
        <v>7.0106429245155163E-3</v>
      </c>
      <c r="E308" s="41"/>
      <c r="F308" s="41"/>
      <c r="I308" s="85">
        <f t="shared" si="12"/>
        <v>45006</v>
      </c>
      <c r="J308" s="47">
        <v>27.934550999999999</v>
      </c>
      <c r="K308" s="8">
        <f t="shared" si="14"/>
        <v>7.1019862419560611E-4</v>
      </c>
      <c r="P308" s="86">
        <v>279</v>
      </c>
      <c r="Q308" s="86">
        <v>2.0463454310312278E-4</v>
      </c>
      <c r="R308" s="86">
        <v>3.8394498749754792E-3</v>
      </c>
    </row>
    <row r="309" spans="2:18">
      <c r="B309" s="85">
        <v>45007</v>
      </c>
      <c r="C309" s="47">
        <v>17151.900390999999</v>
      </c>
      <c r="D309" s="8">
        <f t="shared" si="13"/>
        <v>2.5953757708606878E-3</v>
      </c>
      <c r="E309" s="41"/>
      <c r="F309" s="41"/>
      <c r="I309" s="85">
        <f t="shared" si="12"/>
        <v>45007</v>
      </c>
      <c r="J309" s="47">
        <v>27.607426</v>
      </c>
      <c r="K309" s="8">
        <f t="shared" si="14"/>
        <v>-1.1710408375634846E-2</v>
      </c>
      <c r="P309" s="86">
        <v>280</v>
      </c>
      <c r="Q309" s="86">
        <v>-4.1715841499634712E-4</v>
      </c>
      <c r="R309" s="86">
        <v>3.6667614973121446E-2</v>
      </c>
    </row>
    <row r="310" spans="2:18">
      <c r="B310" s="85">
        <v>45008</v>
      </c>
      <c r="C310" s="47">
        <v>17076.900390999999</v>
      </c>
      <c r="D310" s="8">
        <f t="shared" si="13"/>
        <v>-4.3726933045480044E-3</v>
      </c>
      <c r="E310" s="41"/>
      <c r="F310" s="41"/>
      <c r="I310" s="85">
        <f t="shared" si="12"/>
        <v>45008</v>
      </c>
      <c r="J310" s="47">
        <v>27.458732999999999</v>
      </c>
      <c r="K310" s="8">
        <f t="shared" si="14"/>
        <v>-5.3859783958128335E-3</v>
      </c>
      <c r="P310" s="86">
        <v>281</v>
      </c>
      <c r="Q310" s="86">
        <v>-1.4615436779953314E-3</v>
      </c>
      <c r="R310" s="86">
        <v>-4.1921527139529274E-3</v>
      </c>
    </row>
    <row r="311" spans="2:18">
      <c r="B311" s="85">
        <v>45009</v>
      </c>
      <c r="C311" s="47">
        <v>16945.050781000002</v>
      </c>
      <c r="D311" s="8">
        <f t="shared" si="13"/>
        <v>-7.7209333650201471E-3</v>
      </c>
      <c r="E311" s="41"/>
      <c r="F311" s="41"/>
      <c r="I311" s="85">
        <f t="shared" si="12"/>
        <v>45009</v>
      </c>
      <c r="J311" s="47">
        <v>27.637163000000001</v>
      </c>
      <c r="K311" s="8">
        <f t="shared" si="14"/>
        <v>6.4981148256185858E-3</v>
      </c>
      <c r="P311" s="86">
        <v>282</v>
      </c>
      <c r="Q311" s="86">
        <v>-1.5406439683873828E-3</v>
      </c>
      <c r="R311" s="86">
        <v>-2.6533198492917003E-2</v>
      </c>
    </row>
    <row r="312" spans="2:18">
      <c r="B312" s="85">
        <v>45012</v>
      </c>
      <c r="C312" s="47">
        <v>16985.699218999998</v>
      </c>
      <c r="D312" s="8">
        <f t="shared" si="13"/>
        <v>2.3988383702912507E-3</v>
      </c>
      <c r="E312" s="41"/>
      <c r="F312" s="41"/>
      <c r="I312" s="85">
        <f t="shared" si="12"/>
        <v>45012</v>
      </c>
      <c r="J312" s="47">
        <v>27.191084</v>
      </c>
      <c r="K312" s="8">
        <f t="shared" si="14"/>
        <v>-1.6140549592590273E-2</v>
      </c>
      <c r="P312" s="86">
        <v>283</v>
      </c>
      <c r="Q312" s="86">
        <v>-7.73612573756917E-4</v>
      </c>
      <c r="R312" s="86">
        <v>-3.9796714412887449E-3</v>
      </c>
    </row>
    <row r="313" spans="2:18">
      <c r="B313" s="85">
        <v>45013</v>
      </c>
      <c r="C313" s="47">
        <v>16951.699218999998</v>
      </c>
      <c r="D313" s="8">
        <f t="shared" si="13"/>
        <v>-2.0016838613254148E-3</v>
      </c>
      <c r="E313" s="41"/>
      <c r="F313" s="41"/>
      <c r="I313" s="85">
        <f t="shared" si="12"/>
        <v>45013</v>
      </c>
      <c r="J313" s="47">
        <v>25.515803999999999</v>
      </c>
      <c r="K313" s="8">
        <f t="shared" si="14"/>
        <v>-6.1611372316013616E-2</v>
      </c>
      <c r="P313" s="86">
        <v>284</v>
      </c>
      <c r="Q313" s="86">
        <v>-3.1818255981731188E-3</v>
      </c>
      <c r="R313" s="86">
        <v>4.2839675760294321E-3</v>
      </c>
    </row>
    <row r="314" spans="2:18">
      <c r="B314" s="85">
        <v>45014</v>
      </c>
      <c r="C314" s="47">
        <v>17080.699218999998</v>
      </c>
      <c r="D314" s="8">
        <f t="shared" si="13"/>
        <v>7.6098565892092247E-3</v>
      </c>
      <c r="E314" s="41"/>
      <c r="F314" s="41"/>
      <c r="I314" s="85">
        <f t="shared" si="12"/>
        <v>45014</v>
      </c>
      <c r="J314" s="47">
        <v>25.714061999999998</v>
      </c>
      <c r="K314" s="8">
        <f t="shared" si="14"/>
        <v>7.7700079527182123E-3</v>
      </c>
      <c r="P314" s="86">
        <v>285</v>
      </c>
      <c r="Q314" s="86">
        <v>-1.0180746985384128E-3</v>
      </c>
      <c r="R314" s="86">
        <v>-8.1676927882612512E-4</v>
      </c>
    </row>
    <row r="315" spans="2:18">
      <c r="B315" s="85">
        <v>45016</v>
      </c>
      <c r="C315" s="47">
        <v>17359.75</v>
      </c>
      <c r="D315" s="8">
        <f t="shared" si="13"/>
        <v>1.6337198929748439E-2</v>
      </c>
      <c r="E315" s="41"/>
      <c r="F315" s="41"/>
      <c r="I315" s="85">
        <f t="shared" si="12"/>
        <v>45016</v>
      </c>
      <c r="J315" s="47">
        <v>23.027666</v>
      </c>
      <c r="K315" s="8">
        <f t="shared" si="14"/>
        <v>-0.1044718644607763</v>
      </c>
      <c r="P315" s="86">
        <v>286</v>
      </c>
      <c r="Q315" s="86">
        <v>-1.0421943433245426E-3</v>
      </c>
      <c r="R315" s="86">
        <v>-9.6195670492045509E-3</v>
      </c>
    </row>
    <row r="316" spans="2:18">
      <c r="B316" s="85">
        <v>45019</v>
      </c>
      <c r="C316" s="47">
        <v>17398.050781000002</v>
      </c>
      <c r="D316" s="8">
        <f t="shared" si="13"/>
        <v>2.2062979593601138E-3</v>
      </c>
      <c r="E316" s="41"/>
      <c r="F316" s="41"/>
      <c r="I316" s="85">
        <f t="shared" si="12"/>
        <v>45019</v>
      </c>
      <c r="J316" s="47">
        <v>23.463833000000001</v>
      </c>
      <c r="K316" s="8">
        <f t="shared" si="14"/>
        <v>1.8940999057394749E-2</v>
      </c>
      <c r="P316" s="86">
        <v>287</v>
      </c>
      <c r="Q316" s="86">
        <v>-1.3103845168530271E-3</v>
      </c>
      <c r="R316" s="86">
        <v>9.387342008884633E-4</v>
      </c>
    </row>
    <row r="317" spans="2:18">
      <c r="B317" s="85">
        <v>45021</v>
      </c>
      <c r="C317" s="47">
        <v>17557.050781000002</v>
      </c>
      <c r="D317" s="8">
        <f t="shared" si="13"/>
        <v>9.1389548174925506E-3</v>
      </c>
      <c r="E317" s="41"/>
      <c r="F317" s="41"/>
      <c r="I317" s="85">
        <f t="shared" si="12"/>
        <v>45021</v>
      </c>
      <c r="J317" s="47">
        <v>23.701741999999999</v>
      </c>
      <c r="K317" s="8">
        <f t="shared" si="14"/>
        <v>1.0139391974022248E-2</v>
      </c>
      <c r="P317" s="86">
        <v>288</v>
      </c>
      <c r="Q317" s="86">
        <v>-1.4651108308102834E-3</v>
      </c>
      <c r="R317" s="86">
        <v>1.4651108308102834E-3</v>
      </c>
    </row>
    <row r="318" spans="2:18">
      <c r="B318" s="85">
        <v>45022</v>
      </c>
      <c r="C318" s="47">
        <v>17599.150390999999</v>
      </c>
      <c r="D318" s="8">
        <f t="shared" si="13"/>
        <v>2.397874821069442E-3</v>
      </c>
      <c r="E318" s="41"/>
      <c r="F318" s="41"/>
      <c r="I318" s="85">
        <f t="shared" si="12"/>
        <v>45022</v>
      </c>
      <c r="J318" s="47">
        <v>23.562963</v>
      </c>
      <c r="K318" s="8">
        <f t="shared" si="14"/>
        <v>-5.8552236371486764E-3</v>
      </c>
      <c r="P318" s="86">
        <v>289</v>
      </c>
      <c r="Q318" s="86">
        <v>8.2803679396776305E-4</v>
      </c>
      <c r="R318" s="86">
        <v>1.2183135348941436E-2</v>
      </c>
    </row>
    <row r="319" spans="2:18">
      <c r="B319" s="85">
        <v>45026</v>
      </c>
      <c r="C319" s="47">
        <v>17624.050781000002</v>
      </c>
      <c r="D319" s="8">
        <f t="shared" si="13"/>
        <v>1.4148631863920139E-3</v>
      </c>
      <c r="E319" s="41"/>
      <c r="F319" s="41"/>
      <c r="I319" s="85">
        <f t="shared" si="12"/>
        <v>45026</v>
      </c>
      <c r="J319" s="47">
        <v>24.494774</v>
      </c>
      <c r="K319" s="8">
        <f t="shared" si="14"/>
        <v>3.9545578372295526E-2</v>
      </c>
      <c r="P319" s="86">
        <v>290</v>
      </c>
      <c r="Q319" s="86">
        <v>-1.8512843326435242E-3</v>
      </c>
      <c r="R319" s="86">
        <v>1.1025652298231122E-2</v>
      </c>
    </row>
    <row r="320" spans="2:18">
      <c r="B320" s="85">
        <v>45027</v>
      </c>
      <c r="C320" s="47">
        <v>17722.300781000002</v>
      </c>
      <c r="D320" s="8">
        <f t="shared" si="13"/>
        <v>5.5747683220432271E-3</v>
      </c>
      <c r="E320" s="41"/>
      <c r="F320" s="41"/>
      <c r="I320" s="85">
        <f t="shared" si="12"/>
        <v>45027</v>
      </c>
      <c r="J320" s="47">
        <v>24.425384999999999</v>
      </c>
      <c r="K320" s="8">
        <f t="shared" si="14"/>
        <v>-2.8328083369947008E-3</v>
      </c>
      <c r="P320" s="86">
        <v>291</v>
      </c>
      <c r="Q320" s="86">
        <v>2.0486112931565694E-3</v>
      </c>
      <c r="R320" s="86">
        <v>-8.594058501981831E-3</v>
      </c>
    </row>
    <row r="321" spans="2:18">
      <c r="B321" s="85">
        <v>45028</v>
      </c>
      <c r="C321" s="47">
        <v>17812.400390999999</v>
      </c>
      <c r="D321" s="8">
        <f t="shared" si="13"/>
        <v>5.0839679967847554E-3</v>
      </c>
      <c r="E321" s="41"/>
      <c r="F321" s="41"/>
      <c r="I321" s="85">
        <f t="shared" si="12"/>
        <v>45028</v>
      </c>
      <c r="J321" s="47">
        <v>24.544339999999998</v>
      </c>
      <c r="K321" s="8">
        <f t="shared" si="14"/>
        <v>4.870138177965248E-3</v>
      </c>
      <c r="P321" s="86">
        <v>292</v>
      </c>
      <c r="Q321" s="86">
        <v>5.1821030029892935E-4</v>
      </c>
      <c r="R321" s="86">
        <v>2.1382457609502926E-4</v>
      </c>
    </row>
    <row r="322" spans="2:18">
      <c r="B322" s="85">
        <v>45029</v>
      </c>
      <c r="C322" s="47">
        <v>17828</v>
      </c>
      <c r="D322" s="8">
        <f t="shared" si="13"/>
        <v>8.7577242020018457E-4</v>
      </c>
      <c r="E322" s="41"/>
      <c r="F322" s="41"/>
      <c r="I322" s="85">
        <f t="shared" si="12"/>
        <v>45029</v>
      </c>
      <c r="J322" s="47">
        <v>23.543137000000002</v>
      </c>
      <c r="K322" s="8">
        <f t="shared" si="14"/>
        <v>-4.0791604092837566E-2</v>
      </c>
      <c r="P322" s="86">
        <v>293</v>
      </c>
      <c r="Q322" s="86">
        <v>-1.9536466978112207E-4</v>
      </c>
      <c r="R322" s="86">
        <v>-1.1874873440743207E-2</v>
      </c>
    </row>
    <row r="323" spans="2:18">
      <c r="B323" s="85">
        <v>45033</v>
      </c>
      <c r="C323" s="47">
        <v>17706.849609000001</v>
      </c>
      <c r="D323" s="8">
        <f t="shared" si="13"/>
        <v>-6.7955121718644386E-3</v>
      </c>
      <c r="E323" s="41"/>
      <c r="F323" s="41"/>
      <c r="I323" s="85">
        <f t="shared" si="12"/>
        <v>45033</v>
      </c>
      <c r="J323" s="47">
        <v>23.810784999999999</v>
      </c>
      <c r="K323" s="8">
        <f t="shared" si="14"/>
        <v>1.1368408551502616E-2</v>
      </c>
      <c r="P323" s="86">
        <v>294</v>
      </c>
      <c r="Q323" s="86">
        <v>-2.1700937992174697E-3</v>
      </c>
      <c r="R323" s="86">
        <v>-1.1620018004338886E-3</v>
      </c>
    </row>
    <row r="324" spans="2:18">
      <c r="B324" s="85">
        <v>45034</v>
      </c>
      <c r="C324" s="47">
        <v>17660.150390999999</v>
      </c>
      <c r="D324" s="8">
        <f t="shared" si="13"/>
        <v>-2.637353285943389E-3</v>
      </c>
      <c r="E324" s="41"/>
      <c r="F324" s="41"/>
      <c r="I324" s="85">
        <f t="shared" si="12"/>
        <v>45034</v>
      </c>
      <c r="J324" s="47">
        <v>24.108170999999999</v>
      </c>
      <c r="K324" s="8">
        <f t="shared" si="14"/>
        <v>1.248955042851378E-2</v>
      </c>
      <c r="P324" s="86">
        <v>295</v>
      </c>
      <c r="Q324" s="86">
        <v>-2.2988627721180674E-3</v>
      </c>
      <c r="R324" s="86">
        <v>2.6703000823663243E-3</v>
      </c>
    </row>
    <row r="325" spans="2:18">
      <c r="B325" s="85">
        <v>45035</v>
      </c>
      <c r="C325" s="47">
        <v>17618.75</v>
      </c>
      <c r="D325" s="8">
        <f t="shared" si="13"/>
        <v>-2.3442830374251948E-3</v>
      </c>
      <c r="E325" s="41"/>
      <c r="F325" s="41"/>
      <c r="I325" s="85">
        <f t="shared" si="12"/>
        <v>45035</v>
      </c>
      <c r="J325" s="47">
        <v>24.385735</v>
      </c>
      <c r="K325" s="8">
        <f t="shared" si="14"/>
        <v>1.1513274897544144E-2</v>
      </c>
      <c r="P325" s="86">
        <v>296</v>
      </c>
      <c r="Q325" s="86">
        <v>-3.1094088303031072E-3</v>
      </c>
      <c r="R325" s="86">
        <v>2.2047476076099904E-2</v>
      </c>
    </row>
    <row r="326" spans="2:18">
      <c r="B326" s="85">
        <v>45036</v>
      </c>
      <c r="C326" s="47">
        <v>17624.449218999998</v>
      </c>
      <c r="D326" s="8">
        <f t="shared" si="13"/>
        <v>3.234746505852155E-4</v>
      </c>
      <c r="E326" s="41"/>
      <c r="F326" s="41"/>
      <c r="I326" s="85">
        <f t="shared" si="12"/>
        <v>45036</v>
      </c>
      <c r="J326" s="47">
        <v>24.831814000000001</v>
      </c>
      <c r="K326" s="8">
        <f t="shared" si="14"/>
        <v>1.8292620665319333E-2</v>
      </c>
      <c r="P326" s="86">
        <v>297</v>
      </c>
      <c r="Q326" s="86">
        <v>-1.6958523035823111E-3</v>
      </c>
      <c r="R326" s="86">
        <v>-1.5840273537742629E-3</v>
      </c>
    </row>
    <row r="327" spans="2:18">
      <c r="B327" s="85">
        <v>45037</v>
      </c>
      <c r="C327" s="47">
        <v>17624.050781000002</v>
      </c>
      <c r="D327" s="8">
        <f t="shared" si="13"/>
        <v>-2.2607117819432117E-5</v>
      </c>
      <c r="E327" s="41"/>
      <c r="F327" s="41"/>
      <c r="I327" s="85">
        <f t="shared" ref="I327:I390" si="15">B327</f>
        <v>45037</v>
      </c>
      <c r="J327" s="47">
        <v>24.861553000000001</v>
      </c>
      <c r="K327" s="8">
        <f t="shared" si="14"/>
        <v>1.1976168958095165E-3</v>
      </c>
      <c r="P327" s="86">
        <v>298</v>
      </c>
      <c r="Q327" s="86">
        <v>-1.3085750194048651E-3</v>
      </c>
      <c r="R327" s="86">
        <v>1.8858841541907805E-2</v>
      </c>
    </row>
    <row r="328" spans="2:18">
      <c r="B328" s="85">
        <v>45040</v>
      </c>
      <c r="C328" s="47">
        <v>17743.400390999999</v>
      </c>
      <c r="D328" s="8">
        <f t="shared" ref="D328:D391" si="16">(C328-C327)/C327</f>
        <v>6.771973792124168E-3</v>
      </c>
      <c r="E328" s="41"/>
      <c r="F328" s="41"/>
      <c r="I328" s="85">
        <f t="shared" si="15"/>
        <v>45040</v>
      </c>
      <c r="J328" s="47">
        <v>24.911116</v>
      </c>
      <c r="K328" s="8">
        <f t="shared" ref="K328:K391" si="17">(J328-J327)/J327</f>
        <v>1.9935600965876564E-3</v>
      </c>
      <c r="P328" s="86">
        <v>299</v>
      </c>
      <c r="Q328" s="86">
        <v>-4.7074730255270347E-4</v>
      </c>
      <c r="R328" s="86">
        <v>-6.3564864246568598E-3</v>
      </c>
    </row>
    <row r="329" spans="2:18">
      <c r="B329" s="85">
        <v>45041</v>
      </c>
      <c r="C329" s="47">
        <v>17769.25</v>
      </c>
      <c r="D329" s="8">
        <f t="shared" si="16"/>
        <v>1.4568576727329279E-3</v>
      </c>
      <c r="E329" s="41"/>
      <c r="F329" s="41"/>
      <c r="I329" s="85">
        <f t="shared" si="15"/>
        <v>45041</v>
      </c>
      <c r="J329" s="47">
        <v>23.533224000000001</v>
      </c>
      <c r="K329" s="8">
        <f t="shared" si="17"/>
        <v>-5.5312335264305269E-2</v>
      </c>
      <c r="P329" s="86">
        <v>300</v>
      </c>
      <c r="Q329" s="86">
        <v>5.3214386392516232E-4</v>
      </c>
      <c r="R329" s="86">
        <v>-2.7028963960925552E-3</v>
      </c>
    </row>
    <row r="330" spans="2:18">
      <c r="B330" s="85">
        <v>45042</v>
      </c>
      <c r="C330" s="47">
        <v>17813.599609000001</v>
      </c>
      <c r="D330" s="8">
        <f t="shared" si="16"/>
        <v>2.4958627404083338E-3</v>
      </c>
      <c r="E330" s="41"/>
      <c r="F330" s="41"/>
      <c r="I330" s="85">
        <f t="shared" si="15"/>
        <v>45042</v>
      </c>
      <c r="J330" s="47">
        <v>23.037579000000001</v>
      </c>
      <c r="K330" s="8">
        <f t="shared" si="17"/>
        <v>-2.1061500115751232E-2</v>
      </c>
      <c r="P330" s="86">
        <v>301</v>
      </c>
      <c r="Q330" s="86">
        <v>-1.7057303603579014E-3</v>
      </c>
      <c r="R330" s="86">
        <v>2.2735492234421475E-2</v>
      </c>
    </row>
    <row r="331" spans="2:18">
      <c r="B331" s="85">
        <v>45043</v>
      </c>
      <c r="C331" s="47">
        <v>17915.050781000002</v>
      </c>
      <c r="D331" s="8">
        <f t="shared" si="16"/>
        <v>5.6951528173308985E-3</v>
      </c>
      <c r="E331" s="41"/>
      <c r="F331" s="41"/>
      <c r="I331" s="85">
        <f t="shared" si="15"/>
        <v>45043</v>
      </c>
      <c r="J331" s="47">
        <v>23.285399999999999</v>
      </c>
      <c r="K331" s="8">
        <f t="shared" si="17"/>
        <v>1.075725014334181E-2</v>
      </c>
      <c r="P331" s="86">
        <v>302</v>
      </c>
      <c r="Q331" s="86">
        <v>5.7811004632720342E-4</v>
      </c>
      <c r="R331" s="86">
        <v>1.3208857786840269E-4</v>
      </c>
    </row>
    <row r="332" spans="2:18">
      <c r="B332" s="85">
        <v>45044</v>
      </c>
      <c r="C332" s="47">
        <v>18065</v>
      </c>
      <c r="D332" s="8">
        <f t="shared" si="16"/>
        <v>8.3700136177692844E-3</v>
      </c>
      <c r="E332" s="41"/>
      <c r="F332" s="41"/>
      <c r="I332" s="85">
        <f t="shared" si="15"/>
        <v>45044</v>
      </c>
      <c r="J332" s="47">
        <v>23.48366</v>
      </c>
      <c r="K332" s="8">
        <f t="shared" si="17"/>
        <v>8.5143480464154025E-3</v>
      </c>
      <c r="P332" s="86">
        <v>303</v>
      </c>
      <c r="Q332" s="86">
        <v>-1.6663517910186506E-4</v>
      </c>
      <c r="R332" s="86">
        <v>-1.1543773196532981E-2</v>
      </c>
    </row>
    <row r="333" spans="2:18">
      <c r="B333" s="85">
        <v>45048</v>
      </c>
      <c r="C333" s="47">
        <v>18147.650390999999</v>
      </c>
      <c r="D333" s="8">
        <f t="shared" si="16"/>
        <v>4.575166952670867E-3</v>
      </c>
      <c r="E333" s="41"/>
      <c r="F333" s="41"/>
      <c r="I333" s="85">
        <f t="shared" si="15"/>
        <v>45048</v>
      </c>
      <c r="J333" s="47">
        <v>23.681916999999999</v>
      </c>
      <c r="K333" s="8">
        <f t="shared" si="17"/>
        <v>8.4423382045217023E-3</v>
      </c>
      <c r="P333" s="86">
        <v>304</v>
      </c>
      <c r="Q333" s="86">
        <v>-1.3419742908190131E-3</v>
      </c>
      <c r="R333" s="86">
        <v>-4.0440041049938204E-3</v>
      </c>
    </row>
    <row r="334" spans="2:18">
      <c r="B334" s="85">
        <v>45049</v>
      </c>
      <c r="C334" s="47">
        <v>18089.849609000001</v>
      </c>
      <c r="D334" s="8">
        <f t="shared" si="16"/>
        <v>-3.1850284061381131E-3</v>
      </c>
      <c r="E334" s="41"/>
      <c r="F334" s="41"/>
      <c r="I334" s="85">
        <f t="shared" si="15"/>
        <v>45049</v>
      </c>
      <c r="J334" s="47">
        <v>22.403154000000001</v>
      </c>
      <c r="K334" s="8">
        <f t="shared" si="17"/>
        <v>-5.3997444548091182E-2</v>
      </c>
      <c r="P334" s="86">
        <v>305</v>
      </c>
      <c r="Q334" s="86">
        <v>-1.9067387120529234E-3</v>
      </c>
      <c r="R334" s="86">
        <v>8.4048535376715083E-3</v>
      </c>
    </row>
    <row r="335" spans="2:18">
      <c r="B335" s="85">
        <v>45050</v>
      </c>
      <c r="C335" s="47">
        <v>18255.800781000002</v>
      </c>
      <c r="D335" s="8">
        <f t="shared" si="16"/>
        <v>9.1737176144039076E-3</v>
      </c>
      <c r="E335" s="41"/>
      <c r="F335" s="41"/>
      <c r="I335" s="85">
        <f t="shared" si="15"/>
        <v>45050</v>
      </c>
      <c r="J335" s="47">
        <v>21.729075999999999</v>
      </c>
      <c r="K335" s="8">
        <f t="shared" si="17"/>
        <v>-3.0088531284479029E-2</v>
      </c>
      <c r="P335" s="86">
        <v>306</v>
      </c>
      <c r="Q335" s="86">
        <v>-1.9978612684716003E-4</v>
      </c>
      <c r="R335" s="86">
        <v>-1.5940763465743111E-2</v>
      </c>
    </row>
    <row r="336" spans="2:18">
      <c r="B336" s="85">
        <v>45051</v>
      </c>
      <c r="C336" s="47">
        <v>18069</v>
      </c>
      <c r="D336" s="8">
        <f t="shared" si="16"/>
        <v>-1.0232406851986326E-2</v>
      </c>
      <c r="E336" s="41"/>
      <c r="F336" s="41"/>
      <c r="I336" s="85">
        <f t="shared" si="15"/>
        <v>45051</v>
      </c>
      <c r="J336" s="47">
        <v>21.818293000000001</v>
      </c>
      <c r="K336" s="8">
        <f t="shared" si="17"/>
        <v>4.1058809863797905E-3</v>
      </c>
      <c r="P336" s="86">
        <v>307</v>
      </c>
      <c r="Q336" s="86">
        <v>-9.4204425242358297E-4</v>
      </c>
      <c r="R336" s="86">
        <v>-6.0669328063590031E-2</v>
      </c>
    </row>
    <row r="337" spans="2:18">
      <c r="B337" s="85">
        <v>45054</v>
      </c>
      <c r="C337" s="47">
        <v>18264.400390999999</v>
      </c>
      <c r="D337" s="8">
        <f t="shared" si="16"/>
        <v>1.0814123139077935E-2</v>
      </c>
      <c r="E337" s="41"/>
      <c r="F337" s="41"/>
      <c r="I337" s="85">
        <f t="shared" si="15"/>
        <v>45054</v>
      </c>
      <c r="J337" s="47">
        <v>22.155331</v>
      </c>
      <c r="K337" s="8">
        <f t="shared" si="17"/>
        <v>1.5447496282133516E-2</v>
      </c>
      <c r="P337" s="86">
        <v>308</v>
      </c>
      <c r="Q337" s="86">
        <v>6.7918241641540787E-4</v>
      </c>
      <c r="R337" s="86">
        <v>7.0908255363028045E-3</v>
      </c>
    </row>
    <row r="338" spans="2:18">
      <c r="B338" s="85">
        <v>45055</v>
      </c>
      <c r="C338" s="47">
        <v>18265.949218999998</v>
      </c>
      <c r="D338" s="8">
        <f t="shared" si="16"/>
        <v>8.4800374873639524E-5</v>
      </c>
      <c r="E338" s="41"/>
      <c r="F338" s="41"/>
      <c r="I338" s="85">
        <f t="shared" si="15"/>
        <v>45055</v>
      </c>
      <c r="J338" s="47">
        <v>22.234634</v>
      </c>
      <c r="K338" s="8">
        <f t="shared" si="17"/>
        <v>3.5794093981263227E-3</v>
      </c>
      <c r="P338" s="86">
        <v>309</v>
      </c>
      <c r="Q338" s="86">
        <v>2.1512669613837263E-3</v>
      </c>
      <c r="R338" s="86">
        <v>-0.10662313142216003</v>
      </c>
    </row>
    <row r="339" spans="2:18">
      <c r="B339" s="85">
        <v>45056</v>
      </c>
      <c r="C339" s="47">
        <v>18315.099609000001</v>
      </c>
      <c r="D339" s="8">
        <f t="shared" si="16"/>
        <v>2.6908204665803477E-3</v>
      </c>
      <c r="E339" s="41"/>
      <c r="F339" s="41"/>
      <c r="I339" s="85">
        <f t="shared" si="15"/>
        <v>45056</v>
      </c>
      <c r="J339" s="47">
        <v>21.570471000000001</v>
      </c>
      <c r="K339" s="8">
        <f t="shared" si="17"/>
        <v>-2.9870651345104152E-2</v>
      </c>
      <c r="P339" s="86">
        <v>310</v>
      </c>
      <c r="Q339" s="86">
        <v>-2.3226288233055547E-4</v>
      </c>
      <c r="R339" s="86">
        <v>1.9173261939725305E-2</v>
      </c>
    </row>
    <row r="340" spans="2:18">
      <c r="B340" s="85">
        <v>45057</v>
      </c>
      <c r="C340" s="47">
        <v>18297</v>
      </c>
      <c r="D340" s="8">
        <f t="shared" si="16"/>
        <v>-9.8823426497263904E-4</v>
      </c>
      <c r="E340" s="41"/>
      <c r="F340" s="41"/>
      <c r="I340" s="85">
        <f t="shared" si="15"/>
        <v>45057</v>
      </c>
      <c r="J340" s="47">
        <v>21.501080000000002</v>
      </c>
      <c r="K340" s="8">
        <f t="shared" si="17"/>
        <v>-3.2169441269965563E-3</v>
      </c>
      <c r="P340" s="86">
        <v>311</v>
      </c>
      <c r="Q340" s="86">
        <v>9.3710307333044849E-4</v>
      </c>
      <c r="R340" s="86">
        <v>9.2022889006917984E-3</v>
      </c>
    </row>
    <row r="341" spans="2:18">
      <c r="B341" s="85">
        <v>45058</v>
      </c>
      <c r="C341" s="47">
        <v>18314.800781000002</v>
      </c>
      <c r="D341" s="8">
        <f t="shared" si="16"/>
        <v>9.728797617096647E-4</v>
      </c>
      <c r="E341" s="41"/>
      <c r="F341" s="41"/>
      <c r="I341" s="85">
        <f t="shared" si="15"/>
        <v>45058</v>
      </c>
      <c r="J341" s="47">
        <v>21.481255000000001</v>
      </c>
      <c r="K341" s="8">
        <f t="shared" si="17"/>
        <v>-9.2204670649106318E-4</v>
      </c>
      <c r="P341" s="86">
        <v>312</v>
      </c>
      <c r="Q341" s="86">
        <v>-1.9994865352050391E-4</v>
      </c>
      <c r="R341" s="86">
        <v>-5.655274983628172E-3</v>
      </c>
    </row>
    <row r="342" spans="2:18">
      <c r="B342" s="85">
        <v>45061</v>
      </c>
      <c r="C342" s="47">
        <v>18398.849609000001</v>
      </c>
      <c r="D342" s="8">
        <f t="shared" si="16"/>
        <v>4.5891205154244613E-3</v>
      </c>
      <c r="E342" s="41"/>
      <c r="F342" s="41"/>
      <c r="I342" s="85">
        <f t="shared" si="15"/>
        <v>45061</v>
      </c>
      <c r="J342" s="47">
        <v>21.917421000000001</v>
      </c>
      <c r="K342" s="8">
        <f t="shared" si="17"/>
        <v>2.0304493382719026E-2</v>
      </c>
      <c r="P342" s="86">
        <v>313</v>
      </c>
      <c r="Q342" s="86">
        <v>-3.6575814952376001E-4</v>
      </c>
      <c r="R342" s="86">
        <v>3.9911336521819288E-2</v>
      </c>
    </row>
    <row r="343" spans="2:18">
      <c r="B343" s="85">
        <v>45062</v>
      </c>
      <c r="C343" s="47">
        <v>18286.5</v>
      </c>
      <c r="D343" s="8">
        <f t="shared" si="16"/>
        <v>-6.106338786803482E-3</v>
      </c>
      <c r="E343" s="41"/>
      <c r="F343" s="41"/>
      <c r="I343" s="85">
        <f t="shared" si="15"/>
        <v>45062</v>
      </c>
      <c r="J343" s="47">
        <v>21.907509000000001</v>
      </c>
      <c r="K343" s="8">
        <f t="shared" si="17"/>
        <v>-4.5224298972036539E-4</v>
      </c>
      <c r="P343" s="86">
        <v>314</v>
      </c>
      <c r="Q343" s="86">
        <v>3.3591388530421445E-4</v>
      </c>
      <c r="R343" s="86">
        <v>-3.1687222222989151E-3</v>
      </c>
    </row>
    <row r="344" spans="2:18">
      <c r="B344" s="85">
        <v>45063</v>
      </c>
      <c r="C344" s="47">
        <v>18181.75</v>
      </c>
      <c r="D344" s="8">
        <f t="shared" si="16"/>
        <v>-5.7282694884204198E-3</v>
      </c>
      <c r="E344" s="41"/>
      <c r="F344" s="41"/>
      <c r="I344" s="85">
        <f t="shared" si="15"/>
        <v>45063</v>
      </c>
      <c r="J344" s="47">
        <v>22.095853999999999</v>
      </c>
      <c r="K344" s="8">
        <f t="shared" si="17"/>
        <v>8.597280503228286E-3</v>
      </c>
      <c r="P344" s="86">
        <v>315</v>
      </c>
      <c r="Q344" s="86">
        <v>2.5312813618533886E-4</v>
      </c>
      <c r="R344" s="86">
        <v>4.6170100417799089E-3</v>
      </c>
    </row>
    <row r="345" spans="2:18">
      <c r="B345" s="85">
        <v>45064</v>
      </c>
      <c r="C345" s="47">
        <v>18129.949218999998</v>
      </c>
      <c r="D345" s="8">
        <f t="shared" si="16"/>
        <v>-2.8490536389512416E-3</v>
      </c>
      <c r="E345" s="41"/>
      <c r="F345" s="41"/>
      <c r="I345" s="85">
        <f t="shared" si="15"/>
        <v>45064</v>
      </c>
      <c r="J345" s="47">
        <v>22.541933</v>
      </c>
      <c r="K345" s="8">
        <f t="shared" si="17"/>
        <v>2.0188357508155196E-2</v>
      </c>
      <c r="P345" s="86">
        <v>316</v>
      </c>
      <c r="Q345" s="86">
        <v>-4.5668928918581319E-4</v>
      </c>
      <c r="R345" s="86">
        <v>-4.0334914803651756E-2</v>
      </c>
    </row>
    <row r="346" spans="2:18">
      <c r="B346" s="85">
        <v>45065</v>
      </c>
      <c r="C346" s="47">
        <v>18203.400390999999</v>
      </c>
      <c r="D346" s="8">
        <f t="shared" si="16"/>
        <v>4.0513721860304429E-3</v>
      </c>
      <c r="E346" s="41"/>
      <c r="F346" s="41"/>
      <c r="I346" s="85">
        <f t="shared" si="15"/>
        <v>45065</v>
      </c>
      <c r="J346" s="47">
        <v>22.422979000000002</v>
      </c>
      <c r="K346" s="8">
        <f t="shared" si="17"/>
        <v>-5.2770097400253414E-3</v>
      </c>
      <c r="P346" s="86">
        <v>317</v>
      </c>
      <c r="Q346" s="86">
        <v>-1.7506432842727304E-3</v>
      </c>
      <c r="R346" s="86">
        <v>1.3119051835775346E-2</v>
      </c>
    </row>
    <row r="347" spans="2:18">
      <c r="B347" s="85">
        <v>45068</v>
      </c>
      <c r="C347" s="47">
        <v>18314.400390999999</v>
      </c>
      <c r="D347" s="8">
        <f t="shared" si="16"/>
        <v>6.0977618255806682E-3</v>
      </c>
      <c r="E347" s="41"/>
      <c r="F347" s="41"/>
      <c r="I347" s="85">
        <f t="shared" si="15"/>
        <v>45068</v>
      </c>
      <c r="J347" s="47">
        <v>22.512194000000001</v>
      </c>
      <c r="K347" s="8">
        <f t="shared" si="17"/>
        <v>3.9787309259844278E-3</v>
      </c>
      <c r="P347" s="86">
        <v>318</v>
      </c>
      <c r="Q347" s="86">
        <v>-1.0492657981331338E-3</v>
      </c>
      <c r="R347" s="86">
        <v>1.3538816226646913E-2</v>
      </c>
    </row>
    <row r="348" spans="2:18">
      <c r="B348" s="85">
        <v>45069</v>
      </c>
      <c r="C348" s="47">
        <v>18348</v>
      </c>
      <c r="D348" s="8">
        <f t="shared" si="16"/>
        <v>1.8346005483484019E-3</v>
      </c>
      <c r="E348" s="41"/>
      <c r="F348" s="41"/>
      <c r="I348" s="85">
        <f t="shared" si="15"/>
        <v>45069</v>
      </c>
      <c r="J348" s="47">
        <v>22.472543999999999</v>
      </c>
      <c r="K348" s="8">
        <f t="shared" si="17"/>
        <v>-1.7612676934110349E-3</v>
      </c>
      <c r="P348" s="86">
        <v>319</v>
      </c>
      <c r="Q348" s="86">
        <v>-9.9983217142301183E-4</v>
      </c>
      <c r="R348" s="86">
        <v>1.2513107068967156E-2</v>
      </c>
    </row>
    <row r="349" spans="2:18">
      <c r="B349" s="85">
        <v>45070</v>
      </c>
      <c r="C349" s="47">
        <v>18285.400390999999</v>
      </c>
      <c r="D349" s="8">
        <f t="shared" si="16"/>
        <v>-3.4117946915195544E-3</v>
      </c>
      <c r="E349" s="41"/>
      <c r="F349" s="41"/>
      <c r="I349" s="85">
        <f t="shared" si="15"/>
        <v>45070</v>
      </c>
      <c r="J349" s="47">
        <v>22.968188999999999</v>
      </c>
      <c r="K349" s="8">
        <f t="shared" si="17"/>
        <v>2.2055580356189299E-2</v>
      </c>
      <c r="P349" s="86">
        <v>320</v>
      </c>
      <c r="Q349" s="86">
        <v>-5.4984812026478709E-4</v>
      </c>
      <c r="R349" s="86">
        <v>1.884246878558412E-2</v>
      </c>
    </row>
    <row r="350" spans="2:18">
      <c r="B350" s="85">
        <v>45071</v>
      </c>
      <c r="C350" s="47">
        <v>18321.150390999999</v>
      </c>
      <c r="D350" s="8">
        <f t="shared" si="16"/>
        <v>1.955111686676328E-3</v>
      </c>
      <c r="E350" s="41"/>
      <c r="F350" s="41"/>
      <c r="I350" s="85">
        <f t="shared" si="15"/>
        <v>45071</v>
      </c>
      <c r="J350" s="47">
        <v>23.731482</v>
      </c>
      <c r="K350" s="8">
        <f t="shared" si="17"/>
        <v>3.3232615771317489E-2</v>
      </c>
      <c r="P350" s="86">
        <v>321</v>
      </c>
      <c r="Q350" s="86">
        <v>-6.0822346555143819E-4</v>
      </c>
      <c r="R350" s="86">
        <v>1.8058403613609546E-3</v>
      </c>
    </row>
    <row r="351" spans="2:18">
      <c r="B351" s="85">
        <v>45072</v>
      </c>
      <c r="C351" s="47">
        <v>18499.349609000001</v>
      </c>
      <c r="D351" s="8">
        <f t="shared" si="16"/>
        <v>9.7264207867394266E-3</v>
      </c>
      <c r="E351" s="41"/>
      <c r="F351" s="41"/>
      <c r="I351" s="85">
        <f t="shared" si="15"/>
        <v>45072</v>
      </c>
      <c r="J351" s="47">
        <v>23.444008</v>
      </c>
      <c r="K351" s="8">
        <f t="shared" si="17"/>
        <v>-1.2113613469230433E-2</v>
      </c>
      <c r="P351" s="86">
        <v>322</v>
      </c>
      <c r="Q351" s="86">
        <v>5.3785252835150839E-4</v>
      </c>
      <c r="R351" s="86">
        <v>1.4557075682361479E-3</v>
      </c>
    </row>
    <row r="352" spans="2:18">
      <c r="B352" s="85">
        <v>45075</v>
      </c>
      <c r="C352" s="47">
        <v>18598.650390999999</v>
      </c>
      <c r="D352" s="8">
        <f t="shared" si="16"/>
        <v>5.3677985496143193E-3</v>
      </c>
      <c r="E352" s="41"/>
      <c r="F352" s="41"/>
      <c r="I352" s="85">
        <f t="shared" si="15"/>
        <v>45075</v>
      </c>
      <c r="J352" s="47">
        <v>22.878972999999998</v>
      </c>
      <c r="K352" s="8">
        <f t="shared" si="17"/>
        <v>-2.41014676330089E-2</v>
      </c>
      <c r="P352" s="86">
        <v>323</v>
      </c>
      <c r="Q352" s="86">
        <v>-3.5867472917605733E-4</v>
      </c>
      <c r="R352" s="86">
        <v>-5.4953660535129213E-2</v>
      </c>
    </row>
    <row r="353" spans="2:18">
      <c r="B353" s="85">
        <v>45076</v>
      </c>
      <c r="C353" s="47">
        <v>18633.849609000001</v>
      </c>
      <c r="D353" s="8">
        <f t="shared" si="16"/>
        <v>1.8925683993196991E-3</v>
      </c>
      <c r="E353" s="41"/>
      <c r="F353" s="41"/>
      <c r="I353" s="85">
        <f t="shared" si="15"/>
        <v>45076</v>
      </c>
      <c r="J353" s="47">
        <v>23.701741999999999</v>
      </c>
      <c r="K353" s="8">
        <f t="shared" si="17"/>
        <v>3.596179776076492E-2</v>
      </c>
      <c r="P353" s="86">
        <v>324</v>
      </c>
      <c r="Q353" s="86">
        <v>-1.8342054037632848E-4</v>
      </c>
      <c r="R353" s="86">
        <v>-2.0878079575374905E-2</v>
      </c>
    </row>
    <row r="354" spans="2:18">
      <c r="B354" s="85">
        <v>45077</v>
      </c>
      <c r="C354" s="47">
        <v>18534.400390999999</v>
      </c>
      <c r="D354" s="8">
        <f t="shared" si="16"/>
        <v>-5.3370194611836079E-3</v>
      </c>
      <c r="E354" s="41"/>
      <c r="F354" s="41"/>
      <c r="I354" s="85">
        <f t="shared" si="15"/>
        <v>45077</v>
      </c>
      <c r="J354" s="47">
        <v>24.256865000000001</v>
      </c>
      <c r="K354" s="8">
        <f t="shared" si="17"/>
        <v>2.342118988553676E-2</v>
      </c>
      <c r="P354" s="86">
        <v>325</v>
      </c>
      <c r="Q354" s="86">
        <v>3.5621974109075881E-4</v>
      </c>
      <c r="R354" s="86">
        <v>1.0401030402251051E-2</v>
      </c>
    </row>
    <row r="355" spans="2:18">
      <c r="B355" s="85">
        <v>45078</v>
      </c>
      <c r="C355" s="47">
        <v>18487.75</v>
      </c>
      <c r="D355" s="8">
        <f t="shared" si="16"/>
        <v>-2.5169625138049723E-3</v>
      </c>
      <c r="E355" s="41"/>
      <c r="F355" s="41"/>
      <c r="I355" s="85">
        <f t="shared" si="15"/>
        <v>45078</v>
      </c>
      <c r="J355" s="47">
        <v>25.525717</v>
      </c>
      <c r="K355" s="8">
        <f t="shared" si="17"/>
        <v>5.2308985518120292E-2</v>
      </c>
      <c r="P355" s="86">
        <v>326</v>
      </c>
      <c r="Q355" s="86">
        <v>8.0740190979936585E-4</v>
      </c>
      <c r="R355" s="86">
        <v>7.7069461366160363E-3</v>
      </c>
    </row>
    <row r="356" spans="2:18">
      <c r="B356" s="85">
        <v>45079</v>
      </c>
      <c r="C356" s="47">
        <v>18534.099609000001</v>
      </c>
      <c r="D356" s="8">
        <f t="shared" si="16"/>
        <v>2.5070443401712366E-3</v>
      </c>
      <c r="E356" s="41"/>
      <c r="F356" s="41"/>
      <c r="I356" s="85">
        <f t="shared" si="15"/>
        <v>45079</v>
      </c>
      <c r="J356" s="47">
        <v>26.170055000000001</v>
      </c>
      <c r="K356" s="8">
        <f t="shared" si="17"/>
        <v>2.524269935297023E-2</v>
      </c>
      <c r="P356" s="86">
        <v>327</v>
      </c>
      <c r="Q356" s="86">
        <v>1.6730611565743522E-4</v>
      </c>
      <c r="R356" s="86">
        <v>8.2750320888642665E-3</v>
      </c>
    </row>
    <row r="357" spans="2:18">
      <c r="B357" s="85">
        <v>45082</v>
      </c>
      <c r="C357" s="47">
        <v>18593.849609000001</v>
      </c>
      <c r="D357" s="8">
        <f t="shared" si="16"/>
        <v>3.2237875732029578E-3</v>
      </c>
      <c r="E357" s="41"/>
      <c r="F357" s="41"/>
      <c r="I357" s="85">
        <f t="shared" si="15"/>
        <v>45082</v>
      </c>
      <c r="J357" s="47">
        <v>26.665699</v>
      </c>
      <c r="K357" s="8">
        <f t="shared" si="17"/>
        <v>1.8939356451486197E-2</v>
      </c>
      <c r="P357" s="86">
        <v>328</v>
      </c>
      <c r="Q357" s="86">
        <v>-1.1416449037810633E-3</v>
      </c>
      <c r="R357" s="86">
        <v>-5.2855799644310121E-2</v>
      </c>
    </row>
    <row r="358" spans="2:18">
      <c r="B358" s="85">
        <v>45083</v>
      </c>
      <c r="C358" s="47">
        <v>18599</v>
      </c>
      <c r="D358" s="8">
        <f t="shared" si="16"/>
        <v>2.7699433459471828E-4</v>
      </c>
      <c r="E358" s="41"/>
      <c r="F358" s="41"/>
      <c r="I358" s="85">
        <f t="shared" si="15"/>
        <v>45083</v>
      </c>
      <c r="J358" s="47">
        <v>26.854046</v>
      </c>
      <c r="K358" s="8">
        <f t="shared" si="17"/>
        <v>7.0632688083668935E-3</v>
      </c>
      <c r="P358" s="86">
        <v>329</v>
      </c>
      <c r="Q358" s="86">
        <v>9.4296668840091206E-4</v>
      </c>
      <c r="R358" s="86">
        <v>-3.1031497972879941E-2</v>
      </c>
    </row>
    <row r="359" spans="2:18">
      <c r="B359" s="85">
        <v>45084</v>
      </c>
      <c r="C359" s="47">
        <v>18726.400390999999</v>
      </c>
      <c r="D359" s="8">
        <f t="shared" si="16"/>
        <v>6.8498516586912852E-3</v>
      </c>
      <c r="E359" s="41"/>
      <c r="F359" s="41"/>
      <c r="I359" s="85">
        <f t="shared" si="15"/>
        <v>45084</v>
      </c>
      <c r="J359" s="47">
        <v>27.082042999999999</v>
      </c>
      <c r="K359" s="8">
        <f t="shared" si="17"/>
        <v>8.4902289956604107E-3</v>
      </c>
      <c r="P359" s="86">
        <v>330</v>
      </c>
      <c r="Q359" s="86">
        <v>-2.3303615242448172E-3</v>
      </c>
      <c r="R359" s="86">
        <v>6.4362425106246077E-3</v>
      </c>
    </row>
    <row r="360" spans="2:18">
      <c r="B360" s="85">
        <v>45085</v>
      </c>
      <c r="C360" s="47">
        <v>18634.550781000002</v>
      </c>
      <c r="D360" s="8">
        <f t="shared" si="16"/>
        <v>-4.9048192969397822E-3</v>
      </c>
      <c r="E360" s="41"/>
      <c r="F360" s="41"/>
      <c r="I360" s="85">
        <f t="shared" si="15"/>
        <v>45085</v>
      </c>
      <c r="J360" s="47">
        <v>27.260475</v>
      </c>
      <c r="K360" s="8">
        <f t="shared" si="17"/>
        <v>6.5885723613983193E-3</v>
      </c>
      <c r="P360" s="86">
        <v>331</v>
      </c>
      <c r="Q360" s="86">
        <v>1.2196621044998392E-3</v>
      </c>
      <c r="R360" s="86">
        <v>1.4227834177633677E-2</v>
      </c>
    </row>
    <row r="361" spans="2:18">
      <c r="B361" s="85">
        <v>45086</v>
      </c>
      <c r="C361" s="47">
        <v>18563.400390999999</v>
      </c>
      <c r="D361" s="8">
        <f t="shared" si="16"/>
        <v>-3.8181972206460836E-3</v>
      </c>
      <c r="E361" s="41"/>
      <c r="F361" s="41"/>
      <c r="I361" s="85">
        <f t="shared" si="15"/>
        <v>45086</v>
      </c>
      <c r="J361" s="47">
        <v>26.745003000000001</v>
      </c>
      <c r="K361" s="8">
        <f t="shared" si="17"/>
        <v>-1.8909134928866759E-2</v>
      </c>
      <c r="P361" s="86">
        <v>332</v>
      </c>
      <c r="Q361" s="86">
        <v>-5.9010650579006604E-4</v>
      </c>
      <c r="R361" s="86">
        <v>4.1695159039163883E-3</v>
      </c>
    </row>
    <row r="362" spans="2:18">
      <c r="B362" s="85">
        <v>45089</v>
      </c>
      <c r="C362" s="47">
        <v>18601.5</v>
      </c>
      <c r="D362" s="8">
        <f t="shared" si="16"/>
        <v>2.0524046347926875E-3</v>
      </c>
      <c r="E362" s="41"/>
      <c r="F362" s="41"/>
      <c r="I362" s="85">
        <f t="shared" si="15"/>
        <v>45089</v>
      </c>
      <c r="J362" s="47">
        <v>26.130403999999999</v>
      </c>
      <c r="K362" s="8">
        <f t="shared" si="17"/>
        <v>-2.2979956293143877E-2</v>
      </c>
      <c r="P362" s="86">
        <v>333</v>
      </c>
      <c r="Q362" s="86">
        <v>-1.5053604422371675E-4</v>
      </c>
      <c r="R362" s="86">
        <v>-2.9720115300880433E-2</v>
      </c>
    </row>
    <row r="363" spans="2:18">
      <c r="B363" s="85">
        <v>45090</v>
      </c>
      <c r="C363" s="47">
        <v>18716.150390999999</v>
      </c>
      <c r="D363" s="8">
        <f t="shared" si="16"/>
        <v>6.1635024594790325E-3</v>
      </c>
      <c r="E363" s="41"/>
      <c r="F363" s="41"/>
      <c r="I363" s="85">
        <f t="shared" si="15"/>
        <v>45090</v>
      </c>
      <c r="J363" s="47">
        <v>26.249357</v>
      </c>
      <c r="K363" s="8">
        <f t="shared" si="17"/>
        <v>4.5522832329726402E-3</v>
      </c>
      <c r="P363" s="86">
        <v>334</v>
      </c>
      <c r="Q363" s="86">
        <v>-7.711006329707993E-4</v>
      </c>
      <c r="R363" s="86">
        <v>-2.445843494025757E-3</v>
      </c>
    </row>
    <row r="364" spans="2:18">
      <c r="B364" s="85">
        <v>45091</v>
      </c>
      <c r="C364" s="47">
        <v>18755.900390999999</v>
      </c>
      <c r="D364" s="8">
        <f t="shared" si="16"/>
        <v>2.1238341843584732E-3</v>
      </c>
      <c r="E364" s="41"/>
      <c r="F364" s="41"/>
      <c r="I364" s="85">
        <f t="shared" si="15"/>
        <v>45091</v>
      </c>
      <c r="J364" s="47">
        <v>26.298922999999998</v>
      </c>
      <c r="K364" s="8">
        <f t="shared" si="17"/>
        <v>1.8882748251699524E-3</v>
      </c>
      <c r="P364" s="86">
        <v>335</v>
      </c>
      <c r="Q364" s="86">
        <v>-4.4030970751464957E-4</v>
      </c>
      <c r="R364" s="86">
        <v>-4.817369989764136E-4</v>
      </c>
    </row>
    <row r="365" spans="2:18">
      <c r="B365" s="85">
        <v>45092</v>
      </c>
      <c r="C365" s="47">
        <v>18688.099609000001</v>
      </c>
      <c r="D365" s="8">
        <f t="shared" si="16"/>
        <v>-3.6149041414472735E-3</v>
      </c>
      <c r="E365" s="41"/>
      <c r="F365" s="41"/>
      <c r="I365" s="85">
        <f t="shared" si="15"/>
        <v>45092</v>
      </c>
      <c r="J365" s="47">
        <v>26.269183999999999</v>
      </c>
      <c r="K365" s="8">
        <f t="shared" si="17"/>
        <v>-1.1308067634556477E-3</v>
      </c>
      <c r="P365" s="86">
        <v>336</v>
      </c>
      <c r="Q365" s="86">
        <v>1.6965973297589402E-4</v>
      </c>
      <c r="R365" s="86">
        <v>2.0134833649743132E-2</v>
      </c>
    </row>
    <row r="366" spans="2:18">
      <c r="B366" s="85">
        <v>45093</v>
      </c>
      <c r="C366" s="47">
        <v>18826</v>
      </c>
      <c r="D366" s="8">
        <f t="shared" si="16"/>
        <v>7.3790483722372593E-3</v>
      </c>
      <c r="E366" s="41"/>
      <c r="F366" s="41"/>
      <c r="I366" s="85">
        <f t="shared" si="15"/>
        <v>45093</v>
      </c>
      <c r="J366" s="47">
        <v>25.971798</v>
      </c>
      <c r="K366" s="8">
        <f t="shared" si="17"/>
        <v>-1.1320717080515311E-2</v>
      </c>
      <c r="P366" s="86">
        <v>337</v>
      </c>
      <c r="Q366" s="86">
        <v>-1.634396957571508E-3</v>
      </c>
      <c r="R366" s="86">
        <v>1.1821539678511426E-3</v>
      </c>
    </row>
    <row r="367" spans="2:18">
      <c r="B367" s="85">
        <v>45096</v>
      </c>
      <c r="C367" s="47">
        <v>18755.449218999998</v>
      </c>
      <c r="D367" s="8">
        <f t="shared" si="16"/>
        <v>-3.7475183788378695E-3</v>
      </c>
      <c r="E367" s="41"/>
      <c r="F367" s="41"/>
      <c r="I367" s="85">
        <f t="shared" si="15"/>
        <v>45096</v>
      </c>
      <c r="J367" s="47">
        <v>25.515803999999999</v>
      </c>
      <c r="K367" s="8">
        <f t="shared" si="17"/>
        <v>-1.7557275010378584E-2</v>
      </c>
      <c r="P367" s="86">
        <v>338</v>
      </c>
      <c r="Q367" s="86">
        <v>-1.5706261153883726E-3</v>
      </c>
      <c r="R367" s="86">
        <v>1.0167906618616659E-2</v>
      </c>
    </row>
    <row r="368" spans="2:18">
      <c r="B368" s="85">
        <v>45097</v>
      </c>
      <c r="C368" s="47">
        <v>18816.699218999998</v>
      </c>
      <c r="D368" s="8">
        <f t="shared" si="16"/>
        <v>3.2657175674550825E-3</v>
      </c>
      <c r="E368" s="41"/>
      <c r="F368" s="41"/>
      <c r="I368" s="85">
        <f t="shared" si="15"/>
        <v>45097</v>
      </c>
      <c r="J368" s="47">
        <v>25.803277999999999</v>
      </c>
      <c r="K368" s="8">
        <f t="shared" si="17"/>
        <v>1.1266507612301755E-2</v>
      </c>
      <c r="P368" s="86">
        <v>339</v>
      </c>
      <c r="Q368" s="86">
        <v>-1.0849743570124617E-3</v>
      </c>
      <c r="R368" s="86">
        <v>2.1273331865167656E-2</v>
      </c>
    </row>
    <row r="369" spans="2:18">
      <c r="B369" s="85">
        <v>45098</v>
      </c>
      <c r="C369" s="47">
        <v>18856.849609000001</v>
      </c>
      <c r="D369" s="8">
        <f t="shared" si="16"/>
        <v>2.1337637134286021E-3</v>
      </c>
      <c r="E369" s="41"/>
      <c r="F369" s="41"/>
      <c r="I369" s="85">
        <f t="shared" si="15"/>
        <v>45098</v>
      </c>
      <c r="J369" s="47">
        <v>26.715264999999999</v>
      </c>
      <c r="K369" s="8">
        <f t="shared" si="17"/>
        <v>3.5343842747421465E-2</v>
      </c>
      <c r="P369" s="86">
        <v>340</v>
      </c>
      <c r="Q369" s="86">
        <v>7.8955028852352384E-5</v>
      </c>
      <c r="R369" s="86">
        <v>-5.3559647688776937E-3</v>
      </c>
    </row>
    <row r="370" spans="2:18">
      <c r="B370" s="85">
        <v>45099</v>
      </c>
      <c r="C370" s="47">
        <v>18771.25</v>
      </c>
      <c r="D370" s="8">
        <f t="shared" si="16"/>
        <v>-4.5394437976079413E-3</v>
      </c>
      <c r="E370" s="41"/>
      <c r="F370" s="41"/>
      <c r="I370" s="85">
        <f t="shared" si="15"/>
        <v>45099</v>
      </c>
      <c r="J370" s="47">
        <v>26.715264999999999</v>
      </c>
      <c r="K370" s="8">
        <f t="shared" si="17"/>
        <v>0</v>
      </c>
      <c r="P370" s="86">
        <v>341</v>
      </c>
      <c r="Q370" s="86">
        <v>4.241298190484536E-4</v>
      </c>
      <c r="R370" s="86">
        <v>3.5546011069359741E-3</v>
      </c>
    </row>
    <row r="371" spans="2:18">
      <c r="B371" s="85">
        <v>45100</v>
      </c>
      <c r="C371" s="47">
        <v>18665.5</v>
      </c>
      <c r="D371" s="8">
        <f t="shared" si="16"/>
        <v>-5.6336152360657917E-3</v>
      </c>
      <c r="E371" s="41"/>
      <c r="F371" s="41"/>
      <c r="I371" s="85">
        <f t="shared" si="15"/>
        <v>45100</v>
      </c>
      <c r="J371" s="47">
        <v>26.774742</v>
      </c>
      <c r="K371" s="8">
        <f t="shared" si="17"/>
        <v>2.2263301524428495E-3</v>
      </c>
      <c r="P371" s="86">
        <v>342</v>
      </c>
      <c r="Q371" s="86">
        <v>-2.9495894635607543E-4</v>
      </c>
      <c r="R371" s="86">
        <v>-1.4663087470549595E-3</v>
      </c>
    </row>
    <row r="372" spans="2:18">
      <c r="B372" s="85">
        <v>45103</v>
      </c>
      <c r="C372" s="47">
        <v>18691.199218999998</v>
      </c>
      <c r="D372" s="8">
        <f t="shared" si="16"/>
        <v>1.3768299268703365E-3</v>
      </c>
      <c r="E372" s="41"/>
      <c r="F372" s="41"/>
      <c r="I372" s="85">
        <f t="shared" si="15"/>
        <v>45103</v>
      </c>
      <c r="J372" s="47">
        <v>26.953175000000002</v>
      </c>
      <c r="K372" s="8">
        <f t="shared" si="17"/>
        <v>6.6642285479352834E-3</v>
      </c>
      <c r="P372" s="86">
        <v>343</v>
      </c>
      <c r="Q372" s="86">
        <v>-1.1798947089341483E-3</v>
      </c>
      <c r="R372" s="86">
        <v>2.3235475065123447E-2</v>
      </c>
    </row>
    <row r="373" spans="2:18">
      <c r="B373" s="85">
        <v>45104</v>
      </c>
      <c r="C373" s="47">
        <v>18817.400390999999</v>
      </c>
      <c r="D373" s="8">
        <f t="shared" si="16"/>
        <v>6.7519034237094218E-3</v>
      </c>
      <c r="E373" s="41"/>
      <c r="F373" s="41"/>
      <c r="I373" s="85">
        <f t="shared" si="15"/>
        <v>45104</v>
      </c>
      <c r="J373" s="47">
        <v>27.65699</v>
      </c>
      <c r="K373" s="8">
        <f t="shared" si="17"/>
        <v>2.6112508081144382E-2</v>
      </c>
      <c r="P373" s="86">
        <v>344</v>
      </c>
      <c r="Q373" s="86">
        <v>-2.7463172905361783E-4</v>
      </c>
      <c r="R373" s="86">
        <v>3.350724750037111E-2</v>
      </c>
    </row>
    <row r="374" spans="2:18">
      <c r="B374" s="85">
        <v>45105</v>
      </c>
      <c r="C374" s="47">
        <v>18972.099609000001</v>
      </c>
      <c r="D374" s="8">
        <f t="shared" si="16"/>
        <v>8.2210727723044698E-3</v>
      </c>
      <c r="E374" s="41"/>
      <c r="F374" s="41"/>
      <c r="I374" s="85">
        <f t="shared" si="15"/>
        <v>45105</v>
      </c>
      <c r="J374" s="47">
        <v>27.339777000000002</v>
      </c>
      <c r="K374" s="8">
        <f t="shared" si="17"/>
        <v>-1.1469541696330614E-2</v>
      </c>
      <c r="P374" s="86">
        <v>345</v>
      </c>
      <c r="Q374" s="86">
        <v>1.0361939007872902E-3</v>
      </c>
      <c r="R374" s="86">
        <v>-1.3149807370017723E-2</v>
      </c>
    </row>
    <row r="375" spans="2:18">
      <c r="B375" s="85">
        <v>45107</v>
      </c>
      <c r="C375" s="47">
        <v>19189.050781000002</v>
      </c>
      <c r="D375" s="8">
        <f t="shared" si="16"/>
        <v>1.143527477038353E-2</v>
      </c>
      <c r="E375" s="41"/>
      <c r="F375" s="41"/>
      <c r="I375" s="85">
        <f t="shared" si="15"/>
        <v>45107</v>
      </c>
      <c r="J375" s="47">
        <v>27.200997999999998</v>
      </c>
      <c r="K375" s="8">
        <f t="shared" si="17"/>
        <v>-5.0760838319933296E-3</v>
      </c>
      <c r="P375" s="86">
        <v>346</v>
      </c>
      <c r="Q375" s="86">
        <v>3.0100325714506044E-4</v>
      </c>
      <c r="R375" s="86">
        <v>-2.440247089015396E-2</v>
      </c>
    </row>
    <row r="376" spans="2:18">
      <c r="B376" s="85">
        <v>45110</v>
      </c>
      <c r="C376" s="47">
        <v>19322.550781000002</v>
      </c>
      <c r="D376" s="8">
        <f t="shared" si="16"/>
        <v>6.9570924337844136E-3</v>
      </c>
      <c r="E376" s="41"/>
      <c r="F376" s="41"/>
      <c r="I376" s="85">
        <f t="shared" si="15"/>
        <v>45110</v>
      </c>
      <c r="J376" s="47">
        <v>27.428992999999998</v>
      </c>
      <c r="K376" s="8">
        <f t="shared" si="17"/>
        <v>8.3818615772847729E-3</v>
      </c>
      <c r="P376" s="86">
        <v>347</v>
      </c>
      <c r="Q376" s="86">
        <v>-2.8518121859083214E-4</v>
      </c>
      <c r="R376" s="86">
        <v>3.6246978979355755E-2</v>
      </c>
    </row>
    <row r="377" spans="2:18">
      <c r="B377" s="85">
        <v>45111</v>
      </c>
      <c r="C377" s="47">
        <v>19389</v>
      </c>
      <c r="D377" s="8">
        <f t="shared" si="16"/>
        <v>3.4389465321182254E-3</v>
      </c>
      <c r="E377" s="41"/>
      <c r="F377" s="41"/>
      <c r="I377" s="85">
        <f t="shared" si="15"/>
        <v>45111</v>
      </c>
      <c r="J377" s="47">
        <v>26.953175000000002</v>
      </c>
      <c r="K377" s="8">
        <f t="shared" si="17"/>
        <v>-1.7347264626156593E-2</v>
      </c>
      <c r="P377" s="86">
        <v>348</v>
      </c>
      <c r="Q377" s="86">
        <v>-1.5046320136515362E-3</v>
      </c>
      <c r="R377" s="86">
        <v>2.4925821899188298E-2</v>
      </c>
    </row>
    <row r="378" spans="2:18">
      <c r="B378" s="85">
        <v>45112</v>
      </c>
      <c r="C378" s="47">
        <v>19398.5</v>
      </c>
      <c r="D378" s="8">
        <f t="shared" si="16"/>
        <v>4.8996853886224153E-4</v>
      </c>
      <c r="E378" s="41"/>
      <c r="F378" s="41"/>
      <c r="I378" s="85">
        <f t="shared" si="15"/>
        <v>45112</v>
      </c>
      <c r="J378" s="47">
        <v>26.219619999999999</v>
      </c>
      <c r="K378" s="8">
        <f t="shared" si="17"/>
        <v>-2.7215903135716018E-2</v>
      </c>
      <c r="P378" s="86">
        <v>349</v>
      </c>
      <c r="Q378" s="86">
        <v>-1.0289588835987354E-3</v>
      </c>
      <c r="R378" s="86">
        <v>5.3337944401719024E-2</v>
      </c>
    </row>
    <row r="379" spans="2:18">
      <c r="B379" s="85">
        <v>45113</v>
      </c>
      <c r="C379" s="47">
        <v>19497.300781000002</v>
      </c>
      <c r="D379" s="8">
        <f t="shared" si="16"/>
        <v>5.093217568368778E-3</v>
      </c>
      <c r="E379" s="41"/>
      <c r="F379" s="41"/>
      <c r="I379" s="85">
        <f t="shared" si="15"/>
        <v>45113</v>
      </c>
      <c r="J379" s="47">
        <v>26.179967999999999</v>
      </c>
      <c r="K379" s="8">
        <f t="shared" si="17"/>
        <v>-1.5123026191836589E-3</v>
      </c>
      <c r="P379" s="86">
        <v>350</v>
      </c>
      <c r="Q379" s="86">
        <v>-1.8153448393936125E-4</v>
      </c>
      <c r="R379" s="86">
        <v>2.5424233836909591E-2</v>
      </c>
    </row>
    <row r="380" spans="2:18">
      <c r="B380" s="85">
        <v>45114</v>
      </c>
      <c r="C380" s="47">
        <v>19331.800781000002</v>
      </c>
      <c r="D380" s="8">
        <f t="shared" si="16"/>
        <v>-8.4883544578272449E-3</v>
      </c>
      <c r="E380" s="41"/>
      <c r="F380" s="41"/>
      <c r="I380" s="85">
        <f t="shared" si="15"/>
        <v>45114</v>
      </c>
      <c r="J380" s="47">
        <v>25.803277999999999</v>
      </c>
      <c r="K380" s="8">
        <f t="shared" si="17"/>
        <v>-1.4388482063843622E-2</v>
      </c>
      <c r="P380" s="86">
        <v>351</v>
      </c>
      <c r="Q380" s="86">
        <v>-6.0637812892602077E-5</v>
      </c>
      <c r="R380" s="86">
        <v>1.8999994264378799E-2</v>
      </c>
    </row>
    <row r="381" spans="2:18">
      <c r="B381" s="85">
        <v>45117</v>
      </c>
      <c r="C381" s="47">
        <v>19355.900390999999</v>
      </c>
      <c r="D381" s="8">
        <f t="shared" si="16"/>
        <v>1.246630372049119E-3</v>
      </c>
      <c r="E381" s="41"/>
      <c r="F381" s="41"/>
      <c r="I381" s="85">
        <f t="shared" si="15"/>
        <v>45117</v>
      </c>
      <c r="J381" s="47">
        <v>25.664497000000001</v>
      </c>
      <c r="K381" s="8">
        <f t="shared" si="17"/>
        <v>-5.3784251752819175E-3</v>
      </c>
      <c r="P381" s="86">
        <v>352</v>
      </c>
      <c r="Q381" s="86">
        <v>-5.5768818796753138E-4</v>
      </c>
      <c r="R381" s="86">
        <v>7.6209569963344246E-3</v>
      </c>
    </row>
    <row r="382" spans="2:18">
      <c r="B382" s="85">
        <v>45118</v>
      </c>
      <c r="C382" s="47">
        <v>19439.400390999999</v>
      </c>
      <c r="D382" s="8">
        <f t="shared" si="16"/>
        <v>4.3139300323546499E-3</v>
      </c>
      <c r="E382" s="41"/>
      <c r="F382" s="41"/>
      <c r="I382" s="85">
        <f t="shared" si="15"/>
        <v>45118</v>
      </c>
      <c r="J382" s="47">
        <v>26.070924999999999</v>
      </c>
      <c r="K382" s="8">
        <f t="shared" si="17"/>
        <v>1.5836195815565692E-2</v>
      </c>
      <c r="P382" s="86">
        <v>353</v>
      </c>
      <c r="Q382" s="86">
        <v>5.5098857817002334E-4</v>
      </c>
      <c r="R382" s="86">
        <v>7.9392404174903879E-3</v>
      </c>
    </row>
    <row r="383" spans="2:18">
      <c r="B383" s="85">
        <v>45119</v>
      </c>
      <c r="C383" s="47">
        <v>19384.300781000002</v>
      </c>
      <c r="D383" s="8">
        <f t="shared" si="16"/>
        <v>-2.8344295035718976E-3</v>
      </c>
      <c r="E383" s="41"/>
      <c r="F383" s="41"/>
      <c r="I383" s="85">
        <f t="shared" si="15"/>
        <v>45119</v>
      </c>
      <c r="J383" s="47">
        <v>26.447617000000001</v>
      </c>
      <c r="K383" s="8">
        <f t="shared" si="17"/>
        <v>1.4448739352362912E-2</v>
      </c>
      <c r="P383" s="86">
        <v>354</v>
      </c>
      <c r="Q383" s="86">
        <v>-1.4317306471999486E-3</v>
      </c>
      <c r="R383" s="86">
        <v>8.0203030085982674E-3</v>
      </c>
    </row>
    <row r="384" spans="2:18">
      <c r="B384" s="85">
        <v>45120</v>
      </c>
      <c r="C384" s="47">
        <v>19413.75</v>
      </c>
      <c r="D384" s="8">
        <f t="shared" si="16"/>
        <v>1.5192303984915279E-3</v>
      </c>
      <c r="E384" s="41"/>
      <c r="F384" s="41"/>
      <c r="I384" s="85">
        <f t="shared" si="15"/>
        <v>45120</v>
      </c>
      <c r="J384" s="47">
        <v>26.635961999999999</v>
      </c>
      <c r="K384" s="8">
        <f t="shared" si="17"/>
        <v>7.1214355531539269E-3</v>
      </c>
      <c r="P384" s="86">
        <v>355</v>
      </c>
      <c r="Q384" s="86">
        <v>-1.2484446590586254E-3</v>
      </c>
      <c r="R384" s="86">
        <v>-1.7660690269808134E-2</v>
      </c>
    </row>
    <row r="385" spans="2:18">
      <c r="B385" s="85">
        <v>45121</v>
      </c>
      <c r="C385" s="47">
        <v>19564.5</v>
      </c>
      <c r="D385" s="8">
        <f t="shared" si="16"/>
        <v>7.7651149314274673E-3</v>
      </c>
      <c r="E385" s="41"/>
      <c r="F385" s="41"/>
      <c r="I385" s="85">
        <f t="shared" si="15"/>
        <v>45121</v>
      </c>
      <c r="J385" s="47">
        <v>26.804482</v>
      </c>
      <c r="K385" s="8">
        <f t="shared" si="17"/>
        <v>6.3267848182093399E-3</v>
      </c>
      <c r="P385" s="86">
        <v>356</v>
      </c>
      <c r="Q385" s="86">
        <v>-2.5822084018642941E-4</v>
      </c>
      <c r="R385" s="86">
        <v>-2.2721735452957446E-2</v>
      </c>
    </row>
    <row r="386" spans="2:18">
      <c r="B386" s="85">
        <v>45124</v>
      </c>
      <c r="C386" s="47">
        <v>19711.449218999998</v>
      </c>
      <c r="D386" s="8">
        <f t="shared" si="16"/>
        <v>7.5110132638195846E-3</v>
      </c>
      <c r="E386" s="41"/>
      <c r="F386" s="41"/>
      <c r="I386" s="85">
        <f t="shared" si="15"/>
        <v>45124</v>
      </c>
      <c r="J386" s="47">
        <v>26.913523000000001</v>
      </c>
      <c r="K386" s="8">
        <f t="shared" si="17"/>
        <v>4.0680137000969193E-3</v>
      </c>
      <c r="P386" s="86">
        <v>357</v>
      </c>
      <c r="Q386" s="86">
        <v>4.3521862104132049E-4</v>
      </c>
      <c r="R386" s="86">
        <v>4.11706461193132E-3</v>
      </c>
    </row>
    <row r="387" spans="2:18">
      <c r="B387" s="85">
        <v>45125</v>
      </c>
      <c r="C387" s="47">
        <v>19749.25</v>
      </c>
      <c r="D387" s="8">
        <f t="shared" si="16"/>
        <v>1.9177068403253327E-3</v>
      </c>
      <c r="E387" s="41"/>
      <c r="F387" s="41"/>
      <c r="I387" s="85">
        <f t="shared" si="15"/>
        <v>45125</v>
      </c>
      <c r="J387" s="47">
        <v>27.339777000000002</v>
      </c>
      <c r="K387" s="8">
        <f t="shared" si="17"/>
        <v>1.5837911669906616E-2</v>
      </c>
      <c r="P387" s="86">
        <v>358</v>
      </c>
      <c r="Q387" s="86">
        <v>-2.4617246029402969E-4</v>
      </c>
      <c r="R387" s="86">
        <v>2.1344472854639821E-3</v>
      </c>
    </row>
    <row r="388" spans="2:18">
      <c r="B388" s="85">
        <v>45126</v>
      </c>
      <c r="C388" s="47">
        <v>19833.150390999999</v>
      </c>
      <c r="D388" s="8">
        <f t="shared" si="16"/>
        <v>4.2482823904704849E-3</v>
      </c>
      <c r="E388" s="41"/>
      <c r="F388" s="41"/>
      <c r="I388" s="85">
        <f t="shared" si="15"/>
        <v>45126</v>
      </c>
      <c r="J388" s="47">
        <v>27.091954999999999</v>
      </c>
      <c r="K388" s="8">
        <f t="shared" si="17"/>
        <v>-9.0645216308824633E-3</v>
      </c>
      <c r="P388" s="86">
        <v>359</v>
      </c>
      <c r="Q388" s="86">
        <v>-1.21415419716194E-3</v>
      </c>
      <c r="R388" s="86">
        <v>8.3347433706292343E-5</v>
      </c>
    </row>
    <row r="389" spans="2:18">
      <c r="B389" s="85">
        <v>45127</v>
      </c>
      <c r="C389" s="47">
        <v>19979.150390999999</v>
      </c>
      <c r="D389" s="8">
        <f t="shared" si="16"/>
        <v>7.361412439359746E-3</v>
      </c>
      <c r="E389" s="41"/>
      <c r="F389" s="41"/>
      <c r="I389" s="85">
        <f t="shared" si="15"/>
        <v>45127</v>
      </c>
      <c r="J389" s="47">
        <v>27.082042999999999</v>
      </c>
      <c r="K389" s="8">
        <f t="shared" si="17"/>
        <v>-3.6586506953816813E-4</v>
      </c>
      <c r="P389" s="86">
        <v>360</v>
      </c>
      <c r="Q389" s="86">
        <v>6.4025083841624212E-4</v>
      </c>
      <c r="R389" s="86">
        <v>-1.1960967918931554E-2</v>
      </c>
    </row>
    <row r="390" spans="2:18">
      <c r="B390" s="85">
        <v>45128</v>
      </c>
      <c r="C390" s="47">
        <v>19745</v>
      </c>
      <c r="D390" s="8">
        <f t="shared" si="16"/>
        <v>-1.1719737146854696E-2</v>
      </c>
      <c r="E390" s="41"/>
      <c r="F390" s="41"/>
      <c r="I390" s="85">
        <f t="shared" si="15"/>
        <v>45128</v>
      </c>
      <c r="J390" s="47">
        <v>26.913523000000001</v>
      </c>
      <c r="K390" s="8">
        <f t="shared" si="17"/>
        <v>-6.2225733856192955E-3</v>
      </c>
      <c r="P390" s="86">
        <v>361</v>
      </c>
      <c r="Q390" s="86">
        <v>-1.2365229048037437E-3</v>
      </c>
      <c r="R390" s="86">
        <v>-1.6320752105574841E-2</v>
      </c>
    </row>
    <row r="391" spans="2:18">
      <c r="B391" s="85">
        <v>45131</v>
      </c>
      <c r="C391" s="47">
        <v>19672.349609000001</v>
      </c>
      <c r="D391" s="8">
        <f t="shared" si="16"/>
        <v>-3.6794323119776762E-3</v>
      </c>
      <c r="E391" s="41"/>
      <c r="F391" s="41"/>
      <c r="I391" s="85">
        <f t="shared" ref="I391:I454" si="18">B391</f>
        <v>45131</v>
      </c>
      <c r="J391" s="47">
        <v>26.110579000000001</v>
      </c>
      <c r="K391" s="8">
        <f t="shared" si="17"/>
        <v>-2.9834221257469713E-2</v>
      </c>
      <c r="P391" s="86">
        <v>362</v>
      </c>
      <c r="Q391" s="86">
        <v>-5.356527074853513E-5</v>
      </c>
      <c r="R391" s="86">
        <v>1.132007288305029E-2</v>
      </c>
    </row>
    <row r="392" spans="2:18">
      <c r="B392" s="85">
        <v>45132</v>
      </c>
      <c r="C392" s="47">
        <v>19680.599609000001</v>
      </c>
      <c r="D392" s="8">
        <f t="shared" ref="D392:D455" si="19">(C392-C391)/C391</f>
        <v>4.1937034284027095E-4</v>
      </c>
      <c r="E392" s="41"/>
      <c r="F392" s="41"/>
      <c r="I392" s="85">
        <f t="shared" si="18"/>
        <v>45132</v>
      </c>
      <c r="J392" s="47">
        <v>25.783453000000002</v>
      </c>
      <c r="K392" s="8">
        <f t="shared" ref="K392:K455" si="20">(J392-J391)/J391</f>
        <v>-1.2528485101766598E-2</v>
      </c>
      <c r="P392" s="86">
        <v>363</v>
      </c>
      <c r="Q392" s="86">
        <v>-2.4449759689202321E-4</v>
      </c>
      <c r="R392" s="86">
        <v>3.558834034431349E-2</v>
      </c>
    </row>
    <row r="393" spans="2:18">
      <c r="B393" s="85">
        <v>45133</v>
      </c>
      <c r="C393" s="47">
        <v>19778.300781000002</v>
      </c>
      <c r="D393" s="8">
        <f t="shared" si="19"/>
        <v>4.9643391939807515E-3</v>
      </c>
      <c r="E393" s="41"/>
      <c r="F393" s="41"/>
      <c r="I393" s="85">
        <f t="shared" si="18"/>
        <v>45133</v>
      </c>
      <c r="J393" s="47">
        <v>24.712859999999999</v>
      </c>
      <c r="K393" s="8">
        <f t="shared" si="20"/>
        <v>-4.1522483431524954E-2</v>
      </c>
      <c r="P393" s="86">
        <v>364</v>
      </c>
      <c r="Q393" s="86">
        <v>-1.3701009316818506E-3</v>
      </c>
      <c r="R393" s="86">
        <v>1.3701009316818506E-3</v>
      </c>
    </row>
    <row r="394" spans="2:18">
      <c r="B394" s="85">
        <v>45134</v>
      </c>
      <c r="C394" s="47">
        <v>19659.900390999999</v>
      </c>
      <c r="D394" s="8">
        <f t="shared" si="19"/>
        <v>-5.9863782693477738E-3</v>
      </c>
      <c r="E394" s="41"/>
      <c r="F394" s="41"/>
      <c r="I394" s="85">
        <f t="shared" si="18"/>
        <v>45134</v>
      </c>
      <c r="J394" s="47">
        <v>25.198591</v>
      </c>
      <c r="K394" s="8">
        <f t="shared" si="20"/>
        <v>1.9654989345628197E-2</v>
      </c>
      <c r="P394" s="86">
        <v>365</v>
      </c>
      <c r="Q394" s="86">
        <v>-1.5546603085516753E-3</v>
      </c>
      <c r="R394" s="86">
        <v>3.7809904609945248E-3</v>
      </c>
    </row>
    <row r="395" spans="2:18">
      <c r="B395" s="85">
        <v>45135</v>
      </c>
      <c r="C395" s="47">
        <v>19646.050781000002</v>
      </c>
      <c r="D395" s="8">
        <f t="shared" si="19"/>
        <v>-7.0445982556135544E-4</v>
      </c>
      <c r="E395" s="41"/>
      <c r="F395" s="41"/>
      <c r="I395" s="85">
        <f t="shared" si="18"/>
        <v>45135</v>
      </c>
      <c r="J395" s="47">
        <v>25.416674</v>
      </c>
      <c r="K395" s="8">
        <f t="shared" si="20"/>
        <v>8.6545712020168128E-3</v>
      </c>
      <c r="P395" s="86">
        <v>366</v>
      </c>
      <c r="Q395" s="86">
        <v>-3.7217340990337877E-4</v>
      </c>
      <c r="R395" s="86">
        <v>7.036401957838662E-3</v>
      </c>
    </row>
    <row r="396" spans="2:18">
      <c r="B396" s="85">
        <v>45138</v>
      </c>
      <c r="C396" s="47">
        <v>19753.800781000002</v>
      </c>
      <c r="D396" s="8">
        <f t="shared" si="19"/>
        <v>5.4845628366290639E-3</v>
      </c>
      <c r="E396" s="41"/>
      <c r="F396" s="41"/>
      <c r="I396" s="85">
        <f t="shared" si="18"/>
        <v>45138</v>
      </c>
      <c r="J396" s="47">
        <v>25.644672</v>
      </c>
      <c r="K396" s="8">
        <f t="shared" si="20"/>
        <v>8.9704105265700565E-3</v>
      </c>
      <c r="P396" s="86">
        <v>367</v>
      </c>
      <c r="Q396" s="86">
        <v>5.3446715878511391E-4</v>
      </c>
      <c r="R396" s="86">
        <v>2.5578040922359269E-2</v>
      </c>
    </row>
    <row r="397" spans="2:18">
      <c r="B397" s="85">
        <v>45139</v>
      </c>
      <c r="C397" s="47">
        <v>19733.550781000002</v>
      </c>
      <c r="D397" s="8">
        <f t="shared" si="19"/>
        <v>-1.0251191770384391E-3</v>
      </c>
      <c r="E397" s="41"/>
      <c r="F397" s="41"/>
      <c r="I397" s="85">
        <f t="shared" si="18"/>
        <v>45139</v>
      </c>
      <c r="J397" s="47">
        <v>26.3584</v>
      </c>
      <c r="K397" s="8">
        <f t="shared" si="20"/>
        <v>2.7831434147412754E-2</v>
      </c>
      <c r="P397" s="86">
        <v>368</v>
      </c>
      <c r="Q397" s="86">
        <v>7.8227931139906971E-4</v>
      </c>
      <c r="R397" s="86">
        <v>-1.2251821007729684E-2</v>
      </c>
    </row>
    <row r="398" spans="2:18">
      <c r="B398" s="85">
        <v>45140</v>
      </c>
      <c r="C398" s="47">
        <v>19526.550781000002</v>
      </c>
      <c r="D398" s="8">
        <f t="shared" si="19"/>
        <v>-1.0489749275092712E-2</v>
      </c>
      <c r="E398" s="41"/>
      <c r="F398" s="41"/>
      <c r="I398" s="85">
        <f t="shared" si="18"/>
        <v>45140</v>
      </c>
      <c r="J398" s="47">
        <v>26.76483</v>
      </c>
      <c r="K398" s="8">
        <f t="shared" si="20"/>
        <v>1.5419372951317239E-2</v>
      </c>
      <c r="P398" s="86">
        <v>369</v>
      </c>
      <c r="Q398" s="86">
        <v>1.3244348612965356E-3</v>
      </c>
      <c r="R398" s="86">
        <v>-6.4005186932898656E-3</v>
      </c>
    </row>
    <row r="399" spans="2:18">
      <c r="B399" s="85">
        <v>45141</v>
      </c>
      <c r="C399" s="47">
        <v>19381.650390999999</v>
      </c>
      <c r="D399" s="8">
        <f t="shared" si="19"/>
        <v>-7.4206853849987436E-3</v>
      </c>
      <c r="E399" s="41"/>
      <c r="F399" s="41"/>
      <c r="I399" s="85">
        <f t="shared" si="18"/>
        <v>45141</v>
      </c>
      <c r="J399" s="47">
        <v>26.834219000000001</v>
      </c>
      <c r="K399" s="8">
        <f t="shared" si="20"/>
        <v>2.5925440213893022E-3</v>
      </c>
      <c r="P399" s="86">
        <v>370</v>
      </c>
      <c r="Q399" s="86">
        <v>5.6907741683877939E-4</v>
      </c>
      <c r="R399" s="86">
        <v>7.812784160445993E-3</v>
      </c>
    </row>
    <row r="400" spans="2:18">
      <c r="B400" s="85">
        <v>45142</v>
      </c>
      <c r="C400" s="47">
        <v>19517</v>
      </c>
      <c r="D400" s="8">
        <f t="shared" si="19"/>
        <v>6.983389250631169E-3</v>
      </c>
      <c r="E400" s="41"/>
      <c r="F400" s="41"/>
      <c r="I400" s="85">
        <f t="shared" si="18"/>
        <v>45142</v>
      </c>
      <c r="J400" s="47">
        <v>26.75</v>
      </c>
      <c r="K400" s="8">
        <f t="shared" si="20"/>
        <v>-3.1384926835396599E-3</v>
      </c>
      <c r="P400" s="86">
        <v>371</v>
      </c>
      <c r="Q400" s="86">
        <v>-2.4345873631849966E-5</v>
      </c>
      <c r="R400" s="86">
        <v>-1.7322918752524744E-2</v>
      </c>
    </row>
    <row r="401" spans="2:18">
      <c r="B401" s="85">
        <v>45145</v>
      </c>
      <c r="C401" s="47">
        <v>19597.300781000002</v>
      </c>
      <c r="D401" s="8">
        <f t="shared" si="19"/>
        <v>4.1144018547933457E-3</v>
      </c>
      <c r="E401" s="41"/>
      <c r="F401" s="41"/>
      <c r="I401" s="85">
        <f t="shared" si="18"/>
        <v>45145</v>
      </c>
      <c r="J401" s="47">
        <v>26.99</v>
      </c>
      <c r="K401" s="8">
        <f t="shared" si="20"/>
        <v>8.971962616822371E-3</v>
      </c>
      <c r="P401" s="86">
        <v>372</v>
      </c>
      <c r="Q401" s="86">
        <v>-5.2176476221593238E-4</v>
      </c>
      <c r="R401" s="86">
        <v>-2.6694138373500084E-2</v>
      </c>
    </row>
    <row r="402" spans="2:18">
      <c r="B402" s="85">
        <v>45146</v>
      </c>
      <c r="C402" s="47">
        <v>19570.849609000001</v>
      </c>
      <c r="D402" s="8">
        <f t="shared" si="19"/>
        <v>-1.3497354710014923E-3</v>
      </c>
      <c r="E402" s="41"/>
      <c r="F402" s="41"/>
      <c r="I402" s="85">
        <f t="shared" si="18"/>
        <v>45146</v>
      </c>
      <c r="J402" s="47">
        <v>27.059999000000001</v>
      </c>
      <c r="K402" s="8">
        <f t="shared" si="20"/>
        <v>2.5935161170805043E-3</v>
      </c>
      <c r="P402" s="86">
        <v>373</v>
      </c>
      <c r="Q402" s="86">
        <v>2.5468830775248017E-4</v>
      </c>
      <c r="R402" s="86">
        <v>-1.7669909269361389E-3</v>
      </c>
    </row>
    <row r="403" spans="2:18">
      <c r="B403" s="85">
        <v>45147</v>
      </c>
      <c r="C403" s="47">
        <v>19632.550781000002</v>
      </c>
      <c r="D403" s="8">
        <f t="shared" si="19"/>
        <v>3.1527078912111498E-3</v>
      </c>
      <c r="E403" s="41"/>
      <c r="F403" s="41"/>
      <c r="I403" s="85">
        <f t="shared" si="18"/>
        <v>45147</v>
      </c>
      <c r="J403" s="47">
        <v>27.27</v>
      </c>
      <c r="K403" s="8">
        <f t="shared" si="20"/>
        <v>7.7605693924821771E-3</v>
      </c>
      <c r="P403" s="86">
        <v>374</v>
      </c>
      <c r="Q403" s="86">
        <v>-2.0361834715367398E-3</v>
      </c>
      <c r="R403" s="86">
        <v>-1.2352298592306882E-2</v>
      </c>
    </row>
    <row r="404" spans="2:18">
      <c r="B404" s="85">
        <v>45148</v>
      </c>
      <c r="C404" s="47">
        <v>19543.099609000001</v>
      </c>
      <c r="D404" s="8">
        <f t="shared" si="19"/>
        <v>-4.5562684644407008E-3</v>
      </c>
      <c r="E404" s="41"/>
      <c r="F404" s="41"/>
      <c r="I404" s="85">
        <f t="shared" si="18"/>
        <v>45148</v>
      </c>
      <c r="J404" s="47">
        <v>27.379999000000002</v>
      </c>
      <c r="K404" s="8">
        <f t="shared" si="20"/>
        <v>4.0337000366704057E-3</v>
      </c>
      <c r="P404" s="86">
        <v>375</v>
      </c>
      <c r="Q404" s="86">
        <v>-3.9413482094185397E-4</v>
      </c>
      <c r="R404" s="86">
        <v>-4.9842903543400631E-3</v>
      </c>
    </row>
    <row r="405" spans="2:18">
      <c r="B405" s="85">
        <v>45149</v>
      </c>
      <c r="C405" s="47">
        <v>19428.300781000002</v>
      </c>
      <c r="D405" s="8">
        <f t="shared" si="19"/>
        <v>-5.8741361553073098E-3</v>
      </c>
      <c r="E405" s="41"/>
      <c r="F405" s="41"/>
      <c r="I405" s="85">
        <f t="shared" si="18"/>
        <v>45149</v>
      </c>
      <c r="J405" s="47">
        <v>27.42</v>
      </c>
      <c r="K405" s="8">
        <f t="shared" si="20"/>
        <v>1.4609569562073457E-3</v>
      </c>
      <c r="P405" s="86">
        <v>376</v>
      </c>
      <c r="Q405" s="86">
        <v>1.2324197585781974E-4</v>
      </c>
      <c r="R405" s="86">
        <v>1.5712953839707871E-2</v>
      </c>
    </row>
    <row r="406" spans="2:18">
      <c r="B406" s="85">
        <v>45152</v>
      </c>
      <c r="C406" s="47">
        <v>19434.550781000002</v>
      </c>
      <c r="D406" s="8">
        <f t="shared" si="19"/>
        <v>3.2169565781646828E-4</v>
      </c>
      <c r="E406" s="41"/>
      <c r="F406" s="41"/>
      <c r="I406" s="85">
        <f t="shared" si="18"/>
        <v>45152</v>
      </c>
      <c r="J406" s="47">
        <v>26.91</v>
      </c>
      <c r="K406" s="8">
        <f t="shared" si="20"/>
        <v>-1.8599562363238568E-2</v>
      </c>
      <c r="P406" s="86">
        <v>377</v>
      </c>
      <c r="Q406" s="86">
        <v>-1.0825076308505399E-3</v>
      </c>
      <c r="R406" s="86">
        <v>1.5531246983213452E-2</v>
      </c>
    </row>
    <row r="407" spans="2:18">
      <c r="B407" s="85">
        <v>45154</v>
      </c>
      <c r="C407" s="47">
        <v>19465</v>
      </c>
      <c r="D407" s="8">
        <f t="shared" si="19"/>
        <v>1.5667570268599492E-3</v>
      </c>
      <c r="E407" s="41"/>
      <c r="F407" s="41"/>
      <c r="I407" s="85">
        <f t="shared" si="18"/>
        <v>45154</v>
      </c>
      <c r="J407" s="47">
        <v>26.959999</v>
      </c>
      <c r="K407" s="8">
        <f t="shared" si="20"/>
        <v>1.8580081753994679E-3</v>
      </c>
      <c r="P407" s="86">
        <v>378</v>
      </c>
      <c r="Q407" s="86">
        <v>-3.4815400911786959E-4</v>
      </c>
      <c r="R407" s="86">
        <v>7.4695895622717964E-3</v>
      </c>
    </row>
    <row r="408" spans="2:18">
      <c r="B408" s="85">
        <v>45155</v>
      </c>
      <c r="C408" s="47">
        <v>19365.25</v>
      </c>
      <c r="D408" s="8">
        <f t="shared" si="19"/>
        <v>-5.124582584125353E-3</v>
      </c>
      <c r="E408" s="41"/>
      <c r="F408" s="41"/>
      <c r="I408" s="85">
        <f t="shared" si="18"/>
        <v>45155</v>
      </c>
      <c r="J408" s="47">
        <v>28.200001</v>
      </c>
      <c r="K408" s="8">
        <f t="shared" si="20"/>
        <v>4.5994141171889526E-2</v>
      </c>
      <c r="P408" s="86">
        <v>379</v>
      </c>
      <c r="Q408" s="86">
        <v>7.053706186353699E-4</v>
      </c>
      <c r="R408" s="86">
        <v>5.6214141995739701E-3</v>
      </c>
    </row>
    <row r="409" spans="2:18">
      <c r="B409" s="85">
        <v>45156</v>
      </c>
      <c r="C409" s="47">
        <v>19310.150390999999</v>
      </c>
      <c r="D409" s="8">
        <f t="shared" si="19"/>
        <v>-2.8452826067311698E-3</v>
      </c>
      <c r="E409" s="41"/>
      <c r="F409" s="41"/>
      <c r="I409" s="85">
        <f t="shared" si="18"/>
        <v>45156</v>
      </c>
      <c r="J409" s="47">
        <v>27.790001</v>
      </c>
      <c r="K409" s="8">
        <f t="shared" si="20"/>
        <v>-1.4539006576630977E-2</v>
      </c>
      <c r="P409" s="86">
        <v>380</v>
      </c>
      <c r="Q409" s="86">
        <v>6.6251001764820511E-4</v>
      </c>
      <c r="R409" s="86">
        <v>3.4055036824487141E-3</v>
      </c>
    </row>
    <row r="410" spans="2:18">
      <c r="B410" s="85">
        <v>45159</v>
      </c>
      <c r="C410" s="47">
        <v>19393.599609000001</v>
      </c>
      <c r="D410" s="8">
        <f t="shared" si="19"/>
        <v>4.3215208742701074E-3</v>
      </c>
      <c r="E410" s="41"/>
      <c r="F410" s="41"/>
      <c r="I410" s="85">
        <f t="shared" si="18"/>
        <v>45159</v>
      </c>
      <c r="J410" s="47">
        <v>27.82</v>
      </c>
      <c r="K410" s="8">
        <f t="shared" si="20"/>
        <v>1.0794889859845672E-3</v>
      </c>
      <c r="P410" s="86">
        <v>381</v>
      </c>
      <c r="Q410" s="86">
        <v>-2.8094099183622261E-4</v>
      </c>
      <c r="R410" s="86">
        <v>1.6118852661742837E-2</v>
      </c>
    </row>
    <row r="411" spans="2:18">
      <c r="B411" s="85">
        <v>45160</v>
      </c>
      <c r="C411" s="47">
        <v>19396.449218999998</v>
      </c>
      <c r="D411" s="8">
        <f t="shared" si="19"/>
        <v>1.4693558996005377E-4</v>
      </c>
      <c r="E411" s="41"/>
      <c r="F411" s="41"/>
      <c r="I411" s="85">
        <f t="shared" si="18"/>
        <v>45160</v>
      </c>
      <c r="J411" s="47">
        <v>27.459999</v>
      </c>
      <c r="K411" s="8">
        <f t="shared" si="20"/>
        <v>-1.2940366642703108E-2</v>
      </c>
      <c r="P411" s="86">
        <v>382</v>
      </c>
      <c r="Q411" s="86">
        <v>1.1216885929375426E-4</v>
      </c>
      <c r="R411" s="86">
        <v>-9.1766904901762168E-3</v>
      </c>
    </row>
    <row r="412" spans="2:18">
      <c r="B412" s="85">
        <v>45161</v>
      </c>
      <c r="C412" s="47">
        <v>19444</v>
      </c>
      <c r="D412" s="8">
        <f t="shared" si="19"/>
        <v>2.4515198871256734E-3</v>
      </c>
      <c r="E412" s="41"/>
      <c r="F412" s="41"/>
      <c r="I412" s="85">
        <f t="shared" si="18"/>
        <v>45161</v>
      </c>
      <c r="J412" s="47">
        <v>26.91</v>
      </c>
      <c r="K412" s="8">
        <f t="shared" si="20"/>
        <v>-2.002909759756363E-2</v>
      </c>
      <c r="P412" s="86">
        <v>383</v>
      </c>
      <c r="Q412" s="86">
        <v>6.3727609728520017E-4</v>
      </c>
      <c r="R412" s="86">
        <v>-1.0031411668233684E-3</v>
      </c>
    </row>
    <row r="413" spans="2:18">
      <c r="B413" s="85">
        <v>45162</v>
      </c>
      <c r="C413" s="47">
        <v>19386.699218999998</v>
      </c>
      <c r="D413" s="8">
        <f t="shared" si="19"/>
        <v>-2.9469646677639239E-3</v>
      </c>
      <c r="E413" s="41"/>
      <c r="F413" s="41"/>
      <c r="I413" s="85">
        <f t="shared" si="18"/>
        <v>45162</v>
      </c>
      <c r="J413" s="47">
        <v>26.559999000000001</v>
      </c>
      <c r="K413" s="8">
        <f t="shared" si="20"/>
        <v>-1.3006354515050125E-2</v>
      </c>
      <c r="P413" s="86">
        <v>384</v>
      </c>
      <c r="Q413" s="86">
        <v>-2.5812369746289056E-3</v>
      </c>
      <c r="R413" s="86">
        <v>-3.6413364109903899E-3</v>
      </c>
    </row>
    <row r="414" spans="2:18">
      <c r="B414" s="85">
        <v>45163</v>
      </c>
      <c r="C414" s="47">
        <v>19265.800781000002</v>
      </c>
      <c r="D414" s="8">
        <f t="shared" si="19"/>
        <v>-6.2361537997922632E-3</v>
      </c>
      <c r="E414" s="41"/>
      <c r="F414" s="41"/>
      <c r="I414" s="85">
        <f t="shared" si="18"/>
        <v>45163</v>
      </c>
      <c r="J414" s="47">
        <v>26.719999000000001</v>
      </c>
      <c r="K414" s="8">
        <f t="shared" si="20"/>
        <v>6.0240966123530403E-3</v>
      </c>
      <c r="P414" s="86">
        <v>385</v>
      </c>
      <c r="Q414" s="86">
        <v>-1.2250384868857022E-3</v>
      </c>
      <c r="R414" s="86">
        <v>-2.860918277058401E-2</v>
      </c>
    </row>
    <row r="415" spans="2:18">
      <c r="B415" s="85">
        <v>45166</v>
      </c>
      <c r="C415" s="47">
        <v>19306.050781000002</v>
      </c>
      <c r="D415" s="8">
        <f t="shared" si="19"/>
        <v>2.0891942389280123E-3</v>
      </c>
      <c r="E415" s="41"/>
      <c r="F415" s="41"/>
      <c r="I415" s="85">
        <f t="shared" si="18"/>
        <v>45166</v>
      </c>
      <c r="J415" s="47">
        <v>26.440000999999999</v>
      </c>
      <c r="K415" s="8">
        <f t="shared" si="20"/>
        <v>-1.0478967458045288E-2</v>
      </c>
      <c r="P415" s="86">
        <v>386</v>
      </c>
      <c r="Q415" s="86">
        <v>-5.3367291354212022E-4</v>
      </c>
      <c r="R415" s="86">
        <v>-1.1994812188224478E-2</v>
      </c>
    </row>
    <row r="416" spans="2:18">
      <c r="B416" s="85">
        <v>45167</v>
      </c>
      <c r="C416" s="47">
        <v>19342.650390999999</v>
      </c>
      <c r="D416" s="8">
        <f t="shared" si="19"/>
        <v>1.8957585067587667E-3</v>
      </c>
      <c r="E416" s="41"/>
      <c r="F416" s="41"/>
      <c r="I416" s="85">
        <f t="shared" si="18"/>
        <v>45167</v>
      </c>
      <c r="J416" s="47">
        <v>26</v>
      </c>
      <c r="K416" s="8">
        <f t="shared" si="20"/>
        <v>-1.6641489537008669E-2</v>
      </c>
      <c r="P416" s="86">
        <v>387</v>
      </c>
      <c r="Q416" s="86">
        <v>2.3294974683502989E-4</v>
      </c>
      <c r="R416" s="86">
        <v>-4.1755433178359981E-2</v>
      </c>
    </row>
    <row r="417" spans="2:18">
      <c r="B417" s="85">
        <v>45168</v>
      </c>
      <c r="C417" s="47">
        <v>19347.449218999998</v>
      </c>
      <c r="D417" s="8">
        <f t="shared" si="19"/>
        <v>2.4809567990909402E-4</v>
      </c>
      <c r="E417" s="41"/>
      <c r="F417" s="41"/>
      <c r="I417" s="85">
        <f t="shared" si="18"/>
        <v>45168</v>
      </c>
      <c r="J417" s="47">
        <v>26.139999</v>
      </c>
      <c r="K417" s="8">
        <f t="shared" si="20"/>
        <v>5.3845769230769051E-3</v>
      </c>
      <c r="P417" s="86">
        <v>388</v>
      </c>
      <c r="Q417" s="86">
        <v>-1.6141626162494462E-3</v>
      </c>
      <c r="R417" s="86">
        <v>2.1269151961877644E-2</v>
      </c>
    </row>
    <row r="418" spans="2:18">
      <c r="B418" s="85">
        <v>45169</v>
      </c>
      <c r="C418" s="47">
        <v>19253.800781000002</v>
      </c>
      <c r="D418" s="8">
        <f t="shared" si="19"/>
        <v>-4.8403506291687217E-3</v>
      </c>
      <c r="E418" s="41"/>
      <c r="F418" s="41"/>
      <c r="I418" s="85">
        <f t="shared" si="18"/>
        <v>45169</v>
      </c>
      <c r="J418" s="47">
        <v>26.16</v>
      </c>
      <c r="K418" s="8">
        <f t="shared" si="20"/>
        <v>7.651492259047371E-4</v>
      </c>
      <c r="P418" s="86">
        <v>389</v>
      </c>
      <c r="Q418" s="86">
        <v>-7.2323497694239266E-4</v>
      </c>
      <c r="R418" s="86">
        <v>9.3778061789592058E-3</v>
      </c>
    </row>
    <row r="419" spans="2:18">
      <c r="B419" s="85">
        <v>45170</v>
      </c>
      <c r="C419" s="47">
        <v>19435.300781000002</v>
      </c>
      <c r="D419" s="8">
        <f t="shared" si="19"/>
        <v>9.4267101890400506E-3</v>
      </c>
      <c r="E419" s="41"/>
      <c r="F419" s="41"/>
      <c r="I419" s="85">
        <f t="shared" si="18"/>
        <v>45170</v>
      </c>
      <c r="J419" s="47">
        <v>25.959999</v>
      </c>
      <c r="K419" s="8">
        <f t="shared" si="20"/>
        <v>-7.6452981651376267E-3</v>
      </c>
      <c r="P419" s="86">
        <v>390</v>
      </c>
      <c r="Q419" s="86">
        <v>3.2069847426977689E-4</v>
      </c>
      <c r="R419" s="86">
        <v>8.6497120523002791E-3</v>
      </c>
    </row>
    <row r="420" spans="2:18">
      <c r="B420" s="85">
        <v>45173</v>
      </c>
      <c r="C420" s="47">
        <v>19528.800781000002</v>
      </c>
      <c r="D420" s="8">
        <f t="shared" si="19"/>
        <v>4.8108337017045725E-3</v>
      </c>
      <c r="E420" s="41"/>
      <c r="F420" s="41"/>
      <c r="I420" s="85">
        <f t="shared" si="18"/>
        <v>45173</v>
      </c>
      <c r="J420" s="47">
        <v>26</v>
      </c>
      <c r="K420" s="8">
        <f t="shared" si="20"/>
        <v>1.5408706294634362E-3</v>
      </c>
      <c r="P420" s="86">
        <v>391</v>
      </c>
      <c r="Q420" s="86">
        <v>-7.7732219583334021E-4</v>
      </c>
      <c r="R420" s="86">
        <v>2.8608756343246094E-2</v>
      </c>
    </row>
    <row r="421" spans="2:18">
      <c r="B421" s="85">
        <v>45174</v>
      </c>
      <c r="C421" s="47">
        <v>19574.900390999999</v>
      </c>
      <c r="D421" s="8">
        <f t="shared" si="19"/>
        <v>2.3605960507748539E-3</v>
      </c>
      <c r="E421" s="41"/>
      <c r="F421" s="41"/>
      <c r="I421" s="85">
        <f t="shared" si="18"/>
        <v>45174</v>
      </c>
      <c r="J421" s="47">
        <v>25.799999</v>
      </c>
      <c r="K421" s="8">
        <f t="shared" si="20"/>
        <v>-7.6923461538461659E-3</v>
      </c>
      <c r="P421" s="86">
        <v>392</v>
      </c>
      <c r="Q421" s="86">
        <v>-2.3737687596937936E-3</v>
      </c>
      <c r="R421" s="86">
        <v>1.7793141711011033E-2</v>
      </c>
    </row>
    <row r="422" spans="2:18">
      <c r="B422" s="85">
        <v>45175</v>
      </c>
      <c r="C422" s="47">
        <v>19611.050781000002</v>
      </c>
      <c r="D422" s="8">
        <f t="shared" si="19"/>
        <v>1.8467726158455178E-3</v>
      </c>
      <c r="E422" s="41"/>
      <c r="F422" s="41"/>
      <c r="I422" s="85">
        <f t="shared" si="18"/>
        <v>45175</v>
      </c>
      <c r="J422" s="47">
        <v>25.5</v>
      </c>
      <c r="K422" s="8">
        <f t="shared" si="20"/>
        <v>-1.1627868667746835E-2</v>
      </c>
      <c r="P422" s="86">
        <v>393</v>
      </c>
      <c r="Q422" s="86">
        <v>-1.8560943814192568E-3</v>
      </c>
      <c r="R422" s="86">
        <v>4.4486384028085586E-3</v>
      </c>
    </row>
    <row r="423" spans="2:18">
      <c r="B423" s="85">
        <v>45176</v>
      </c>
      <c r="C423" s="47">
        <v>19727.050781000002</v>
      </c>
      <c r="D423" s="8">
        <f t="shared" si="19"/>
        <v>5.9150323608557279E-3</v>
      </c>
      <c r="E423" s="41"/>
      <c r="F423" s="41"/>
      <c r="I423" s="85">
        <f t="shared" si="18"/>
        <v>45176</v>
      </c>
      <c r="J423" s="47">
        <v>25.17</v>
      </c>
      <c r="K423" s="8">
        <f t="shared" si="20"/>
        <v>-1.2941176470588168E-2</v>
      </c>
      <c r="P423" s="86">
        <v>394</v>
      </c>
      <c r="Q423" s="86">
        <v>5.7351303264843495E-4</v>
      </c>
      <c r="R423" s="86">
        <v>-3.7120057161880949E-3</v>
      </c>
    </row>
    <row r="424" spans="2:18">
      <c r="B424" s="85">
        <v>45177</v>
      </c>
      <c r="C424" s="47">
        <v>19819.949218999998</v>
      </c>
      <c r="D424" s="8">
        <f t="shared" si="19"/>
        <v>4.7091903919804952E-3</v>
      </c>
      <c r="E424" s="41"/>
      <c r="F424" s="41"/>
      <c r="I424" s="85">
        <f t="shared" si="18"/>
        <v>45177</v>
      </c>
      <c r="J424" s="47">
        <v>24.93</v>
      </c>
      <c r="K424" s="8">
        <f t="shared" si="20"/>
        <v>-9.5351609058403636E-3</v>
      </c>
      <c r="P424" s="86">
        <v>395</v>
      </c>
      <c r="Q424" s="86">
        <v>8.9586558777487502E-5</v>
      </c>
      <c r="R424" s="86">
        <v>8.882376058044884E-3</v>
      </c>
    </row>
    <row r="425" spans="2:18">
      <c r="B425" s="85">
        <v>45180</v>
      </c>
      <c r="C425" s="47">
        <v>19996.349609000001</v>
      </c>
      <c r="D425" s="8">
        <f t="shared" si="19"/>
        <v>8.9001433884048405E-3</v>
      </c>
      <c r="E425" s="41"/>
      <c r="F425" s="41"/>
      <c r="I425" s="85">
        <f t="shared" si="18"/>
        <v>45180</v>
      </c>
      <c r="J425" s="47">
        <v>24.870000999999998</v>
      </c>
      <c r="K425" s="8">
        <f t="shared" si="20"/>
        <v>-2.4066987565183012E-3</v>
      </c>
      <c r="P425" s="86">
        <v>396</v>
      </c>
      <c r="Q425" s="86">
        <v>-8.320768520324207E-4</v>
      </c>
      <c r="R425" s="86">
        <v>3.4255929691129252E-3</v>
      </c>
    </row>
    <row r="426" spans="2:18">
      <c r="B426" s="85">
        <v>45181</v>
      </c>
      <c r="C426" s="47">
        <v>19993.199218999998</v>
      </c>
      <c r="D426" s="8">
        <f t="shared" si="19"/>
        <v>-1.5754825563684796E-4</v>
      </c>
      <c r="E426" s="41"/>
      <c r="F426" s="41"/>
      <c r="I426" s="85">
        <f t="shared" si="18"/>
        <v>45181</v>
      </c>
      <c r="J426" s="47">
        <v>25.4</v>
      </c>
      <c r="K426" s="8">
        <f t="shared" si="20"/>
        <v>2.1310775178497183E-2</v>
      </c>
      <c r="P426" s="86">
        <v>397</v>
      </c>
      <c r="Q426" s="86">
        <v>-7.2627178868927287E-5</v>
      </c>
      <c r="R426" s="86">
        <v>7.8331965713511042E-3</v>
      </c>
    </row>
    <row r="427" spans="2:18">
      <c r="B427" s="85">
        <v>45182</v>
      </c>
      <c r="C427" s="47">
        <v>20070</v>
      </c>
      <c r="D427" s="8">
        <f t="shared" si="19"/>
        <v>3.8413452573921327E-3</v>
      </c>
      <c r="E427" s="41"/>
      <c r="F427" s="41"/>
      <c r="I427" s="85">
        <f t="shared" si="18"/>
        <v>45182</v>
      </c>
      <c r="J427" s="47">
        <v>25.809999000000001</v>
      </c>
      <c r="K427" s="8">
        <f t="shared" si="20"/>
        <v>1.6141692913385932E-2</v>
      </c>
      <c r="P427" s="86">
        <v>398</v>
      </c>
      <c r="Q427" s="86">
        <v>-1.3729388325057588E-3</v>
      </c>
      <c r="R427" s="86">
        <v>5.4066388691761643E-3</v>
      </c>
    </row>
    <row r="428" spans="2:18">
      <c r="B428" s="85">
        <v>45183</v>
      </c>
      <c r="C428" s="47">
        <v>20103.099609000001</v>
      </c>
      <c r="D428" s="8">
        <f t="shared" si="19"/>
        <v>1.649208221225749E-3</v>
      </c>
      <c r="E428" s="41"/>
      <c r="F428" s="41"/>
      <c r="I428" s="85">
        <f t="shared" si="18"/>
        <v>45183</v>
      </c>
      <c r="J428" s="47">
        <v>25.58</v>
      </c>
      <c r="K428" s="8">
        <f t="shared" si="20"/>
        <v>-8.9112363003192273E-3</v>
      </c>
      <c r="P428" s="86">
        <v>399</v>
      </c>
      <c r="Q428" s="86">
        <v>-1.5952301766903802E-3</v>
      </c>
      <c r="R428" s="86">
        <v>3.0561871328977259E-3</v>
      </c>
    </row>
    <row r="429" spans="2:18">
      <c r="B429" s="85">
        <v>45184</v>
      </c>
      <c r="C429" s="47">
        <v>20192.349609000001</v>
      </c>
      <c r="D429" s="8">
        <f t="shared" si="19"/>
        <v>4.4396138772571907E-3</v>
      </c>
      <c r="E429" s="41"/>
      <c r="F429" s="41"/>
      <c r="I429" s="85">
        <f t="shared" si="18"/>
        <v>45184</v>
      </c>
      <c r="J429" s="47">
        <v>25.32</v>
      </c>
      <c r="K429" s="8">
        <f t="shared" si="20"/>
        <v>-1.0164190774042143E-2</v>
      </c>
      <c r="P429" s="86">
        <v>400</v>
      </c>
      <c r="Q429" s="86">
        <v>-5.5014819188548177E-4</v>
      </c>
      <c r="R429" s="86">
        <v>-1.8049414171353084E-2</v>
      </c>
    </row>
    <row r="430" spans="2:18">
      <c r="B430" s="85">
        <v>45187</v>
      </c>
      <c r="C430" s="47">
        <v>20133.300781000002</v>
      </c>
      <c r="D430" s="8">
        <f t="shared" si="19"/>
        <v>-2.924316839962012E-3</v>
      </c>
      <c r="E430" s="41"/>
      <c r="F430" s="41"/>
      <c r="I430" s="85">
        <f t="shared" si="18"/>
        <v>45187</v>
      </c>
      <c r="J430" s="47">
        <v>25.66</v>
      </c>
      <c r="K430" s="8">
        <f t="shared" si="20"/>
        <v>1.3428120063191147E-2</v>
      </c>
      <c r="P430" s="86">
        <v>401</v>
      </c>
      <c r="Q430" s="86">
        <v>-3.4013745466570592E-4</v>
      </c>
      <c r="R430" s="86">
        <v>2.198145630065174E-3</v>
      </c>
    </row>
    <row r="431" spans="2:18">
      <c r="B431" s="85">
        <v>45189</v>
      </c>
      <c r="C431" s="47">
        <v>19901.400390999999</v>
      </c>
      <c r="D431" s="8">
        <f t="shared" si="19"/>
        <v>-1.1518249914532109E-2</v>
      </c>
      <c r="E431" s="41"/>
      <c r="F431" s="41"/>
      <c r="I431" s="85">
        <f t="shared" si="18"/>
        <v>45189</v>
      </c>
      <c r="J431" s="47">
        <v>25.77</v>
      </c>
      <c r="K431" s="8">
        <f t="shared" si="20"/>
        <v>4.2868277474668523E-3</v>
      </c>
      <c r="P431" s="86">
        <v>402</v>
      </c>
      <c r="Q431" s="86">
        <v>-1.4687992215716198E-3</v>
      </c>
      <c r="R431" s="86">
        <v>4.7462940393461148E-2</v>
      </c>
    </row>
    <row r="432" spans="2:18">
      <c r="B432" s="85">
        <v>45190</v>
      </c>
      <c r="C432" s="47">
        <v>19742.349609000001</v>
      </c>
      <c r="D432" s="8">
        <f t="shared" si="19"/>
        <v>-7.9919392040333961E-3</v>
      </c>
      <c r="E432" s="41"/>
      <c r="F432" s="41"/>
      <c r="I432" s="85">
        <f t="shared" si="18"/>
        <v>45190</v>
      </c>
      <c r="J432" s="47">
        <v>25.450001</v>
      </c>
      <c r="K432" s="8">
        <f t="shared" si="20"/>
        <v>-1.2417500970120267E-2</v>
      </c>
      <c r="P432" s="86">
        <v>403</v>
      </c>
      <c r="Q432" s="86">
        <v>-1.0843382781200411E-3</v>
      </c>
      <c r="R432" s="86">
        <v>-1.3454668298510936E-2</v>
      </c>
    </row>
    <row r="433" spans="2:18">
      <c r="B433" s="85">
        <v>45191</v>
      </c>
      <c r="C433" s="47">
        <v>19674.25</v>
      </c>
      <c r="D433" s="8">
        <f t="shared" si="19"/>
        <v>-3.4494176401858481E-3</v>
      </c>
      <c r="E433" s="41"/>
      <c r="F433" s="41"/>
      <c r="I433" s="85">
        <f t="shared" si="18"/>
        <v>45191</v>
      </c>
      <c r="J433" s="47">
        <v>25.51</v>
      </c>
      <c r="K433" s="8">
        <f t="shared" si="20"/>
        <v>2.3575244653232528E-3</v>
      </c>
      <c r="P433" s="86">
        <v>404</v>
      </c>
      <c r="Q433" s="86">
        <v>1.245223611837324E-4</v>
      </c>
      <c r="R433" s="86">
        <v>9.5496662480083479E-4</v>
      </c>
    </row>
    <row r="434" spans="2:18">
      <c r="B434" s="85">
        <v>45194</v>
      </c>
      <c r="C434" s="47">
        <v>19674.550781000002</v>
      </c>
      <c r="D434" s="8">
        <f t="shared" si="19"/>
        <v>1.528805418258558E-5</v>
      </c>
      <c r="E434" s="41"/>
      <c r="F434" s="41"/>
      <c r="I434" s="85">
        <f t="shared" si="18"/>
        <v>45194</v>
      </c>
      <c r="J434" s="47">
        <v>25.110001</v>
      </c>
      <c r="K434" s="8">
        <f t="shared" si="20"/>
        <v>-1.5680086240689967E-2</v>
      </c>
      <c r="P434" s="86">
        <v>405</v>
      </c>
      <c r="Q434" s="86">
        <v>-5.7962584784656873E-4</v>
      </c>
      <c r="R434" s="86">
        <v>-1.2360740794856538E-2</v>
      </c>
    </row>
    <row r="435" spans="2:18">
      <c r="B435" s="85">
        <v>45195</v>
      </c>
      <c r="C435" s="47">
        <v>19664.699218999998</v>
      </c>
      <c r="D435" s="8">
        <f t="shared" si="19"/>
        <v>-5.0072614666848026E-4</v>
      </c>
      <c r="E435" s="41"/>
      <c r="F435" s="41"/>
      <c r="I435" s="85">
        <f t="shared" si="18"/>
        <v>45195</v>
      </c>
      <c r="J435" s="47">
        <v>24.969999000000001</v>
      </c>
      <c r="K435" s="8">
        <f t="shared" si="20"/>
        <v>-5.5755473685564199E-3</v>
      </c>
      <c r="P435" s="86">
        <v>406</v>
      </c>
      <c r="Q435" s="86">
        <v>-1.9090007153829377E-4</v>
      </c>
      <c r="R435" s="86">
        <v>-1.9838197526025336E-2</v>
      </c>
    </row>
    <row r="436" spans="2:18">
      <c r="B436" s="85">
        <v>45196</v>
      </c>
      <c r="C436" s="47">
        <v>19716.449218999998</v>
      </c>
      <c r="D436" s="8">
        <f t="shared" si="19"/>
        <v>2.631619198629758E-3</v>
      </c>
      <c r="E436" s="41"/>
      <c r="F436" s="41"/>
      <c r="I436" s="85">
        <f t="shared" si="18"/>
        <v>45196</v>
      </c>
      <c r="J436" s="47">
        <v>24.67</v>
      </c>
      <c r="K436" s="8">
        <f t="shared" si="20"/>
        <v>-1.2014377733855722E-2</v>
      </c>
      <c r="P436" s="86">
        <v>407</v>
      </c>
      <c r="Q436" s="86">
        <v>-1.101489500646462E-3</v>
      </c>
      <c r="R436" s="86">
        <v>-1.1904865014403663E-2</v>
      </c>
    </row>
    <row r="437" spans="2:18">
      <c r="B437" s="85">
        <v>45197</v>
      </c>
      <c r="C437" s="47">
        <v>19523.550781000002</v>
      </c>
      <c r="D437" s="8">
        <f t="shared" si="19"/>
        <v>-9.783629692009025E-3</v>
      </c>
      <c r="E437" s="41"/>
      <c r="F437" s="41"/>
      <c r="I437" s="85">
        <f t="shared" si="18"/>
        <v>45197</v>
      </c>
      <c r="J437" s="47">
        <v>24.879999000000002</v>
      </c>
      <c r="K437" s="8">
        <f t="shared" si="20"/>
        <v>8.512322659100114E-3</v>
      </c>
      <c r="P437" s="86">
        <v>408</v>
      </c>
      <c r="Q437" s="86">
        <v>-1.6562935060130623E-3</v>
      </c>
      <c r="R437" s="86">
        <v>7.6803901183661021E-3</v>
      </c>
    </row>
    <row r="438" spans="2:18">
      <c r="B438" s="85">
        <v>45198</v>
      </c>
      <c r="C438" s="47">
        <v>19638.300781000002</v>
      </c>
      <c r="D438" s="8">
        <f t="shared" si="19"/>
        <v>5.8775169172440092E-3</v>
      </c>
      <c r="E438" s="41"/>
      <c r="F438" s="41"/>
      <c r="I438" s="85">
        <f t="shared" si="18"/>
        <v>45198</v>
      </c>
      <c r="J438" s="47">
        <v>24.02</v>
      </c>
      <c r="K438" s="8">
        <f t="shared" si="20"/>
        <v>-3.4565877595091617E-2</v>
      </c>
      <c r="P438" s="86">
        <v>409</v>
      </c>
      <c r="Q438" s="86">
        <v>-2.5201535338988785E-4</v>
      </c>
      <c r="R438" s="86">
        <v>-1.02269521046554E-2</v>
      </c>
    </row>
    <row r="439" spans="2:18">
      <c r="B439" s="85">
        <v>45202</v>
      </c>
      <c r="C439" s="47">
        <v>19528.75</v>
      </c>
      <c r="D439" s="8">
        <f t="shared" si="19"/>
        <v>-5.5784246418097332E-3</v>
      </c>
      <c r="E439" s="41"/>
      <c r="F439" s="41"/>
      <c r="I439" s="85">
        <f t="shared" si="18"/>
        <v>45202</v>
      </c>
      <c r="J439" s="47">
        <v>23.709999</v>
      </c>
      <c r="K439" s="8">
        <f t="shared" si="20"/>
        <v>-1.2905953372189832E-2</v>
      </c>
      <c r="P439" s="86">
        <v>410</v>
      </c>
      <c r="Q439" s="86">
        <v>-2.8464312719088489E-4</v>
      </c>
      <c r="R439" s="86">
        <v>-1.6356846409817785E-2</v>
      </c>
    </row>
    <row r="440" spans="2:18">
      <c r="B440" s="85">
        <v>45203</v>
      </c>
      <c r="C440" s="47">
        <v>19436.099609000001</v>
      </c>
      <c r="D440" s="8">
        <f t="shared" si="19"/>
        <v>-4.7443072905331484E-3</v>
      </c>
      <c r="E440" s="41"/>
      <c r="F440" s="41"/>
      <c r="I440" s="85">
        <f t="shared" si="18"/>
        <v>45203</v>
      </c>
      <c r="J440" s="47">
        <v>24.17</v>
      </c>
      <c r="K440" s="8">
        <f t="shared" si="20"/>
        <v>1.9401139578285174E-2</v>
      </c>
      <c r="P440" s="86">
        <v>411</v>
      </c>
      <c r="Q440" s="86">
        <v>-5.6256266879721949E-4</v>
      </c>
      <c r="R440" s="86">
        <v>5.947139591874125E-3</v>
      </c>
    </row>
    <row r="441" spans="2:18">
      <c r="B441" s="85">
        <v>45204</v>
      </c>
      <c r="C441" s="47">
        <v>19545.75</v>
      </c>
      <c r="D441" s="8">
        <f t="shared" si="19"/>
        <v>5.6415841246885232E-3</v>
      </c>
      <c r="E441" s="41"/>
      <c r="F441" s="41"/>
      <c r="I441" s="85">
        <f t="shared" si="18"/>
        <v>45204</v>
      </c>
      <c r="J441" s="47">
        <v>24.16</v>
      </c>
      <c r="K441" s="8">
        <f t="shared" si="20"/>
        <v>-4.1373603640883585E-4</v>
      </c>
      <c r="P441" s="86">
        <v>412</v>
      </c>
      <c r="Q441" s="86">
        <v>-1.4208563941046344E-3</v>
      </c>
      <c r="R441" s="86">
        <v>2.1860056200093715E-3</v>
      </c>
    </row>
    <row r="442" spans="2:18">
      <c r="B442" s="85">
        <v>45205</v>
      </c>
      <c r="C442" s="47">
        <v>19653.5</v>
      </c>
      <c r="D442" s="8">
        <f t="shared" si="19"/>
        <v>5.512707366051443E-3</v>
      </c>
      <c r="E442" s="41"/>
      <c r="F442" s="41"/>
      <c r="I442" s="85">
        <f t="shared" si="18"/>
        <v>45205</v>
      </c>
      <c r="J442" s="47">
        <v>23.219999000000001</v>
      </c>
      <c r="K442" s="8">
        <f t="shared" si="20"/>
        <v>-3.8907326158940346E-2</v>
      </c>
      <c r="P442" s="86">
        <v>413</v>
      </c>
      <c r="Q442" s="86">
        <v>9.8564021312145134E-4</v>
      </c>
      <c r="R442" s="86">
        <v>-8.630938378259078E-3</v>
      </c>
    </row>
    <row r="443" spans="2:18">
      <c r="B443" s="85">
        <v>45208</v>
      </c>
      <c r="C443" s="47">
        <v>19512.349609000001</v>
      </c>
      <c r="D443" s="8">
        <f t="shared" si="19"/>
        <v>-7.1819467779275555E-3</v>
      </c>
      <c r="E443" s="41"/>
      <c r="F443" s="41"/>
      <c r="I443" s="85">
        <f t="shared" si="18"/>
        <v>45208</v>
      </c>
      <c r="J443" s="47">
        <v>24.290001</v>
      </c>
      <c r="K443" s="8">
        <f t="shared" si="20"/>
        <v>4.6081052802801531E-2</v>
      </c>
      <c r="P443" s="86">
        <v>414</v>
      </c>
      <c r="Q443" s="86">
        <v>2.0705720659424504E-4</v>
      </c>
      <c r="R443" s="86">
        <v>1.3338134228691912E-3</v>
      </c>
    </row>
    <row r="444" spans="2:18">
      <c r="B444" s="85">
        <v>45209</v>
      </c>
      <c r="C444" s="47">
        <v>19689.849609000001</v>
      </c>
      <c r="D444" s="8">
        <f t="shared" si="19"/>
        <v>9.0968029764149343E-3</v>
      </c>
      <c r="E444" s="41"/>
      <c r="F444" s="41"/>
      <c r="I444" s="85">
        <f t="shared" si="18"/>
        <v>45209</v>
      </c>
      <c r="J444" s="47">
        <v>24.16</v>
      </c>
      <c r="K444" s="8">
        <f t="shared" si="20"/>
        <v>-5.3520376553298629E-3</v>
      </c>
      <c r="P444" s="86">
        <v>415</v>
      </c>
      <c r="Q444" s="86">
        <v>-2.0623665042320092E-4</v>
      </c>
      <c r="R444" s="86">
        <v>-7.4861095034229651E-3</v>
      </c>
    </row>
    <row r="445" spans="2:18">
      <c r="B445" s="85">
        <v>45210</v>
      </c>
      <c r="C445" s="47">
        <v>19811.349609000001</v>
      </c>
      <c r="D445" s="8">
        <f t="shared" si="19"/>
        <v>6.1706921288247809E-3</v>
      </c>
      <c r="E445" s="41"/>
      <c r="F445" s="41"/>
      <c r="I445" s="85">
        <f t="shared" si="18"/>
        <v>45210</v>
      </c>
      <c r="J445" s="47">
        <v>23.76</v>
      </c>
      <c r="K445" s="8">
        <f t="shared" si="20"/>
        <v>-1.6556291390728419E-2</v>
      </c>
      <c r="P445" s="86">
        <v>416</v>
      </c>
      <c r="Q445" s="86">
        <v>-2.9290582276545108E-4</v>
      </c>
      <c r="R445" s="86">
        <v>-1.1334962844981384E-2</v>
      </c>
    </row>
    <row r="446" spans="2:18">
      <c r="B446" s="85">
        <v>45211</v>
      </c>
      <c r="C446" s="47">
        <v>19794</v>
      </c>
      <c r="D446" s="8">
        <f t="shared" si="19"/>
        <v>-8.7574089309489108E-4</v>
      </c>
      <c r="E446" s="41"/>
      <c r="F446" s="41"/>
      <c r="I446" s="85">
        <f t="shared" si="18"/>
        <v>45211</v>
      </c>
      <c r="J446" s="47">
        <v>24.030000999999999</v>
      </c>
      <c r="K446" s="8">
        <f t="shared" si="20"/>
        <v>1.1363678451178326E-2</v>
      </c>
      <c r="P446" s="86">
        <v>417</v>
      </c>
      <c r="Q446" s="86">
        <v>3.9330792500146255E-4</v>
      </c>
      <c r="R446" s="86">
        <v>-1.3334484395589631E-2</v>
      </c>
    </row>
    <row r="447" spans="2:18">
      <c r="B447" s="85">
        <v>45212</v>
      </c>
      <c r="C447" s="47">
        <v>19751.050781000002</v>
      </c>
      <c r="D447" s="8">
        <f t="shared" si="19"/>
        <v>-2.1698099929270622E-3</v>
      </c>
      <c r="E447" s="41"/>
      <c r="F447" s="41"/>
      <c r="I447" s="85">
        <f t="shared" si="18"/>
        <v>45212</v>
      </c>
      <c r="J447" s="47">
        <v>24.059999000000001</v>
      </c>
      <c r="K447" s="8">
        <f t="shared" si="20"/>
        <v>1.2483561694401359E-3</v>
      </c>
      <c r="P447" s="86">
        <v>418</v>
      </c>
      <c r="Q447" s="86">
        <v>1.8991252044515126E-4</v>
      </c>
      <c r="R447" s="86">
        <v>-9.7250734262855146E-3</v>
      </c>
    </row>
    <row r="448" spans="2:18">
      <c r="B448" s="85">
        <v>45215</v>
      </c>
      <c r="C448" s="47">
        <v>19731.75</v>
      </c>
      <c r="D448" s="8">
        <f t="shared" si="19"/>
        <v>-9.7720274298360795E-4</v>
      </c>
      <c r="E448" s="41"/>
      <c r="F448" s="41"/>
      <c r="I448" s="85">
        <f t="shared" si="18"/>
        <v>45215</v>
      </c>
      <c r="J448" s="47">
        <v>23.58</v>
      </c>
      <c r="K448" s="8">
        <f t="shared" si="20"/>
        <v>-1.9950083954700201E-2</v>
      </c>
      <c r="P448" s="86">
        <v>419</v>
      </c>
      <c r="Q448" s="86">
        <v>8.9682155345826079E-4</v>
      </c>
      <c r="R448" s="86">
        <v>-3.3035203099765621E-3</v>
      </c>
    </row>
    <row r="449" spans="2:18">
      <c r="B449" s="85">
        <v>45216</v>
      </c>
      <c r="C449" s="47">
        <v>19811.5</v>
      </c>
      <c r="D449" s="8">
        <f t="shared" si="19"/>
        <v>4.0417094276990126E-3</v>
      </c>
      <c r="E449" s="41"/>
      <c r="F449" s="41"/>
      <c r="I449" s="85">
        <f t="shared" si="18"/>
        <v>45216</v>
      </c>
      <c r="J449" s="47">
        <v>23.34</v>
      </c>
      <c r="K449" s="8">
        <f t="shared" si="20"/>
        <v>-1.0178117048345991E-2</v>
      </c>
      <c r="P449" s="86">
        <v>420</v>
      </c>
      <c r="Q449" s="86">
        <v>-6.3098466314291299E-4</v>
      </c>
      <c r="R449" s="86">
        <v>2.1941759841640096E-2</v>
      </c>
    </row>
    <row r="450" spans="2:18">
      <c r="B450" s="85">
        <v>45217</v>
      </c>
      <c r="C450" s="47">
        <v>19671.099609000001</v>
      </c>
      <c r="D450" s="8">
        <f t="shared" si="19"/>
        <v>-7.0868127602654631E-3</v>
      </c>
      <c r="E450" s="41"/>
      <c r="F450" s="41"/>
      <c r="I450" s="85">
        <f t="shared" si="18"/>
        <v>45217</v>
      </c>
      <c r="J450" s="47">
        <v>22.83</v>
      </c>
      <c r="K450" s="8">
        <f t="shared" si="20"/>
        <v>-2.1850899742930658E-2</v>
      </c>
      <c r="P450" s="86">
        <v>421</v>
      </c>
      <c r="Q450" s="86">
        <v>4.3528734843067724E-5</v>
      </c>
      <c r="R450" s="86">
        <v>1.6098164178542863E-2</v>
      </c>
    </row>
    <row r="451" spans="2:18">
      <c r="B451" s="85">
        <v>45218</v>
      </c>
      <c r="C451" s="47">
        <v>19624.699218999998</v>
      </c>
      <c r="D451" s="8">
        <f t="shared" si="19"/>
        <v>-2.3588101795170222E-3</v>
      </c>
      <c r="E451" s="41"/>
      <c r="F451" s="41"/>
      <c r="I451" s="85">
        <f t="shared" si="18"/>
        <v>45218</v>
      </c>
      <c r="J451" s="47">
        <v>22.389999</v>
      </c>
      <c r="K451" s="8">
        <f t="shared" si="20"/>
        <v>-1.9272930354796266E-2</v>
      </c>
      <c r="P451" s="86">
        <v>422</v>
      </c>
      <c r="Q451" s="86">
        <v>-3.2622999874109122E-4</v>
      </c>
      <c r="R451" s="86">
        <v>-8.5850063015781367E-3</v>
      </c>
    </row>
    <row r="452" spans="2:18">
      <c r="B452" s="85">
        <v>45219</v>
      </c>
      <c r="C452" s="47">
        <v>19542.650390999999</v>
      </c>
      <c r="D452" s="8">
        <f t="shared" si="19"/>
        <v>-4.1808960781708204E-3</v>
      </c>
      <c r="E452" s="41"/>
      <c r="F452" s="41"/>
      <c r="I452" s="85">
        <f t="shared" si="18"/>
        <v>45219</v>
      </c>
      <c r="J452" s="47">
        <v>22.620000999999998</v>
      </c>
      <c r="K452" s="8">
        <f t="shared" si="20"/>
        <v>1.0272532839327012E-2</v>
      </c>
      <c r="P452" s="86">
        <v>423</v>
      </c>
      <c r="Q452" s="86">
        <v>1.4444169948660474E-4</v>
      </c>
      <c r="R452" s="86">
        <v>-1.0308632473528747E-2</v>
      </c>
    </row>
    <row r="453" spans="2:18">
      <c r="B453" s="85">
        <v>45222</v>
      </c>
      <c r="C453" s="47">
        <v>19281.75</v>
      </c>
      <c r="D453" s="8">
        <f t="shared" si="19"/>
        <v>-1.3350307444488287E-2</v>
      </c>
      <c r="E453" s="41"/>
      <c r="F453" s="41"/>
      <c r="I453" s="85">
        <f t="shared" si="18"/>
        <v>45222</v>
      </c>
      <c r="J453" s="47">
        <v>22.700001</v>
      </c>
      <c r="K453" s="8">
        <f t="shared" si="20"/>
        <v>3.5366930355132105E-3</v>
      </c>
      <c r="P453" s="86">
        <v>424</v>
      </c>
      <c r="Q453" s="86">
        <v>-1.0976693780955873E-3</v>
      </c>
      <c r="R453" s="86">
        <v>1.4525789441286734E-2</v>
      </c>
    </row>
    <row r="454" spans="2:18">
      <c r="B454" s="85">
        <v>45224</v>
      </c>
      <c r="C454" s="47">
        <v>19122.150390999999</v>
      </c>
      <c r="D454" s="8">
        <f t="shared" si="19"/>
        <v>-8.277236713472625E-3</v>
      </c>
      <c r="E454" s="41"/>
      <c r="F454" s="41"/>
      <c r="I454" s="85">
        <f t="shared" si="18"/>
        <v>45224</v>
      </c>
      <c r="J454" s="47">
        <v>22.6</v>
      </c>
      <c r="K454" s="8">
        <f t="shared" si="20"/>
        <v>-4.4053302024083122E-3</v>
      </c>
      <c r="P454" s="86">
        <v>425</v>
      </c>
      <c r="Q454" s="86">
        <v>-2.547251113969726E-3</v>
      </c>
      <c r="R454" s="86">
        <v>6.8340788614365787E-3</v>
      </c>
    </row>
    <row r="455" spans="2:18">
      <c r="B455" s="85">
        <v>45225</v>
      </c>
      <c r="C455" s="47">
        <v>18857.25</v>
      </c>
      <c r="D455" s="8">
        <f t="shared" si="19"/>
        <v>-1.3853064931686596E-2</v>
      </c>
      <c r="E455" s="41"/>
      <c r="F455" s="41"/>
      <c r="I455" s="85">
        <f t="shared" ref="I455:I518" si="21">B455</f>
        <v>45225</v>
      </c>
      <c r="J455" s="47">
        <v>22.24</v>
      </c>
      <c r="K455" s="8">
        <f t="shared" si="20"/>
        <v>-1.592920353982314E-2</v>
      </c>
      <c r="P455" s="86">
        <v>426</v>
      </c>
      <c r="Q455" s="86">
        <v>-1.9524506242984707E-3</v>
      </c>
      <c r="R455" s="86">
        <v>-1.0465050345821797E-2</v>
      </c>
    </row>
    <row r="456" spans="2:18">
      <c r="B456" s="85">
        <v>45226</v>
      </c>
      <c r="C456" s="47">
        <v>19047.25</v>
      </c>
      <c r="D456" s="8">
        <f t="shared" ref="D456:D519" si="22">(C456-C455)/C455</f>
        <v>1.007570032746026E-2</v>
      </c>
      <c r="E456" s="41"/>
      <c r="F456" s="41"/>
      <c r="I456" s="85">
        <f t="shared" si="21"/>
        <v>45226</v>
      </c>
      <c r="J456" s="47">
        <v>21.690000999999999</v>
      </c>
      <c r="K456" s="8">
        <f t="shared" ref="K456:K519" si="23">(J456-J455)/J455</f>
        <v>-2.473017086330934E-2</v>
      </c>
      <c r="P456" s="86">
        <v>427</v>
      </c>
      <c r="Q456" s="86">
        <v>-1.1862407601266772E-3</v>
      </c>
      <c r="R456" s="86">
        <v>3.5437652254499299E-3</v>
      </c>
    </row>
    <row r="457" spans="2:18">
      <c r="B457" s="85">
        <v>45229</v>
      </c>
      <c r="C457" s="47">
        <v>19140.900390999999</v>
      </c>
      <c r="D457" s="8">
        <f t="shared" si="22"/>
        <v>4.9167407893527526E-3</v>
      </c>
      <c r="E457" s="41"/>
      <c r="F457" s="41"/>
      <c r="I457" s="85">
        <f t="shared" si="21"/>
        <v>45229</v>
      </c>
      <c r="J457" s="47">
        <v>21.459999</v>
      </c>
      <c r="K457" s="8">
        <f t="shared" si="23"/>
        <v>-1.0604056680310846E-2</v>
      </c>
      <c r="P457" s="86">
        <v>428</v>
      </c>
      <c r="Q457" s="86">
        <v>-6.0183149708539546E-4</v>
      </c>
      <c r="R457" s="86">
        <v>-1.5078254743604571E-2</v>
      </c>
    </row>
    <row r="458" spans="2:18">
      <c r="B458" s="85">
        <v>45230</v>
      </c>
      <c r="C458" s="47">
        <v>19079.599609000001</v>
      </c>
      <c r="D458" s="8">
        <f t="shared" si="22"/>
        <v>-3.2026070220198158E-3</v>
      </c>
      <c r="E458" s="41"/>
      <c r="F458" s="41"/>
      <c r="I458" s="85">
        <f t="shared" si="21"/>
        <v>45230</v>
      </c>
      <c r="J458" s="47">
        <v>13.395</v>
      </c>
      <c r="K458" s="8">
        <f t="shared" si="23"/>
        <v>-0.37581544155710356</v>
      </c>
      <c r="P458" s="86">
        <v>429</v>
      </c>
      <c r="Q458" s="86">
        <v>-6.8887019688849028E-4</v>
      </c>
      <c r="R458" s="86">
        <v>-4.8866771716679297E-3</v>
      </c>
    </row>
    <row r="459" spans="2:18">
      <c r="B459" s="85">
        <v>45231</v>
      </c>
      <c r="C459" s="47">
        <v>18989.150390999999</v>
      </c>
      <c r="D459" s="8">
        <f t="shared" si="22"/>
        <v>-4.7406245337211347E-3</v>
      </c>
      <c r="E459" s="41"/>
      <c r="F459" s="41"/>
      <c r="I459" s="85">
        <f t="shared" si="21"/>
        <v>45231</v>
      </c>
      <c r="J459" s="47">
        <v>13.285</v>
      </c>
      <c r="K459" s="8">
        <f t="shared" si="23"/>
        <v>-8.2120194102276549E-3</v>
      </c>
      <c r="P459" s="86">
        <v>430</v>
      </c>
      <c r="Q459" s="86">
        <v>-1.6052181860863759E-4</v>
      </c>
      <c r="R459" s="86">
        <v>-1.1853855915247085E-2</v>
      </c>
    </row>
    <row r="460" spans="2:18">
      <c r="B460" s="85">
        <v>45232</v>
      </c>
      <c r="C460" s="47">
        <v>19133.25</v>
      </c>
      <c r="D460" s="8">
        <f t="shared" si="22"/>
        <v>7.5885232373691398E-3</v>
      </c>
      <c r="E460" s="41"/>
      <c r="F460" s="41"/>
      <c r="I460" s="85">
        <f t="shared" si="21"/>
        <v>45232</v>
      </c>
      <c r="J460" s="47">
        <v>13.07</v>
      </c>
      <c r="K460" s="8">
        <f t="shared" si="23"/>
        <v>-1.618366578848324E-2</v>
      </c>
      <c r="P460" s="86">
        <v>431</v>
      </c>
      <c r="Q460" s="86">
        <v>-2.2546640328941405E-3</v>
      </c>
      <c r="R460" s="86">
        <v>1.0766986691994255E-2</v>
      </c>
    </row>
    <row r="461" spans="2:18">
      <c r="B461" s="85">
        <v>45233</v>
      </c>
      <c r="C461" s="47">
        <v>19230.599609000001</v>
      </c>
      <c r="D461" s="8">
        <f t="shared" si="22"/>
        <v>5.0879808187318295E-3</v>
      </c>
      <c r="E461" s="41"/>
      <c r="F461" s="41"/>
      <c r="I461" s="85">
        <f t="shared" si="21"/>
        <v>45233</v>
      </c>
      <c r="J461" s="47">
        <v>13.66</v>
      </c>
      <c r="K461" s="8">
        <f t="shared" si="23"/>
        <v>4.5141545524100983E-2</v>
      </c>
      <c r="P461" s="86">
        <v>432</v>
      </c>
      <c r="Q461" s="86">
        <v>3.8698000722494632E-4</v>
      </c>
      <c r="R461" s="86">
        <v>-3.4952857602316562E-2</v>
      </c>
    </row>
    <row r="462" spans="2:18">
      <c r="B462" s="85">
        <v>45236</v>
      </c>
      <c r="C462" s="47">
        <v>19411.75</v>
      </c>
      <c r="D462" s="8">
        <f t="shared" si="22"/>
        <v>9.4199034186755199E-3</v>
      </c>
      <c r="E462" s="41"/>
      <c r="F462" s="41"/>
      <c r="I462" s="85">
        <f t="shared" si="21"/>
        <v>45236</v>
      </c>
      <c r="J462" s="47">
        <v>13.404999999999999</v>
      </c>
      <c r="K462" s="8">
        <f t="shared" si="23"/>
        <v>-1.8667642752562282E-2</v>
      </c>
      <c r="P462" s="86">
        <v>433</v>
      </c>
      <c r="Q462" s="86">
        <v>-1.5453510345869574E-3</v>
      </c>
      <c r="R462" s="86">
        <v>-1.1360602337602875E-2</v>
      </c>
    </row>
    <row r="463" spans="2:18">
      <c r="B463" s="85">
        <v>45237</v>
      </c>
      <c r="C463" s="47">
        <v>19406.699218999998</v>
      </c>
      <c r="D463" s="8">
        <f t="shared" si="22"/>
        <v>-2.6019194560004814E-4</v>
      </c>
      <c r="E463" s="41"/>
      <c r="F463" s="41"/>
      <c r="I463" s="85">
        <f t="shared" si="21"/>
        <v>45237</v>
      </c>
      <c r="J463" s="47">
        <v>13.275</v>
      </c>
      <c r="K463" s="8">
        <f t="shared" si="23"/>
        <v>-9.6978739276388677E-3</v>
      </c>
      <c r="P463" s="86">
        <v>434</v>
      </c>
      <c r="Q463" s="86">
        <v>-1.4046562831274536E-3</v>
      </c>
      <c r="R463" s="86">
        <v>2.0805795861412627E-2</v>
      </c>
    </row>
    <row r="464" spans="2:18">
      <c r="B464" s="85">
        <v>45238</v>
      </c>
      <c r="C464" s="47">
        <v>19443.5</v>
      </c>
      <c r="D464" s="8">
        <f t="shared" si="22"/>
        <v>1.8962926453753753E-3</v>
      </c>
      <c r="E464" s="41"/>
      <c r="F464" s="41"/>
      <c r="I464" s="85">
        <f t="shared" si="21"/>
        <v>45238</v>
      </c>
      <c r="J464" s="47">
        <v>12.76</v>
      </c>
      <c r="K464" s="8">
        <f t="shared" si="23"/>
        <v>-3.8794726930320191E-2</v>
      </c>
      <c r="P464" s="86">
        <v>435</v>
      </c>
      <c r="Q464" s="86">
        <v>3.4718404139479314E-4</v>
      </c>
      <c r="R464" s="86">
        <v>-7.6092007780362899E-4</v>
      </c>
    </row>
    <row r="465" spans="2:18">
      <c r="B465" s="85">
        <v>45239</v>
      </c>
      <c r="C465" s="47">
        <v>19395.300781000002</v>
      </c>
      <c r="D465" s="8">
        <f t="shared" si="22"/>
        <v>-2.4789373826727833E-3</v>
      </c>
      <c r="E465" s="41"/>
      <c r="F465" s="41"/>
      <c r="I465" s="85">
        <f t="shared" si="21"/>
        <v>45239</v>
      </c>
      <c r="J465" s="47">
        <v>12.75</v>
      </c>
      <c r="K465" s="8">
        <f t="shared" si="23"/>
        <v>-7.836990595611118E-4</v>
      </c>
      <c r="P465" s="86">
        <v>436</v>
      </c>
      <c r="Q465" s="86">
        <v>3.2544575301414783E-4</v>
      </c>
      <c r="R465" s="86">
        <v>-3.9232771911954491E-2</v>
      </c>
    </row>
    <row r="466" spans="2:18">
      <c r="B466" s="85">
        <v>45240</v>
      </c>
      <c r="C466" s="47">
        <v>19425.349609000001</v>
      </c>
      <c r="D466" s="8">
        <f t="shared" si="22"/>
        <v>1.5492839394084283E-3</v>
      </c>
      <c r="E466" s="41"/>
      <c r="F466" s="41"/>
      <c r="I466" s="85">
        <f t="shared" si="21"/>
        <v>45240</v>
      </c>
      <c r="J466" s="47">
        <v>12.41</v>
      </c>
      <c r="K466" s="8">
        <f t="shared" si="23"/>
        <v>-2.6666666666666655E-2</v>
      </c>
      <c r="P466" s="86">
        <v>437</v>
      </c>
      <c r="Q466" s="86">
        <v>-1.8158251448013377E-3</v>
      </c>
      <c r="R466" s="86">
        <v>4.7896877947602869E-2</v>
      </c>
    </row>
    <row r="467" spans="2:18">
      <c r="B467" s="85">
        <v>45243</v>
      </c>
      <c r="C467" s="47">
        <v>19443.550781000002</v>
      </c>
      <c r="D467" s="8">
        <f t="shared" si="22"/>
        <v>9.3698040788764631E-4</v>
      </c>
      <c r="E467" s="41"/>
      <c r="F467" s="41"/>
      <c r="I467" s="85">
        <f t="shared" si="21"/>
        <v>45243</v>
      </c>
      <c r="J467" s="47">
        <v>12.29</v>
      </c>
      <c r="K467" s="8">
        <f t="shared" si="23"/>
        <v>-9.6696212731668812E-3</v>
      </c>
      <c r="P467" s="86">
        <v>438</v>
      </c>
      <c r="Q467" s="86">
        <v>9.2999311117116814E-4</v>
      </c>
      <c r="R467" s="86">
        <v>-6.2820307665010311E-3</v>
      </c>
    </row>
    <row r="468" spans="2:18">
      <c r="B468" s="85">
        <v>45245</v>
      </c>
      <c r="C468" s="47">
        <v>19675.449218999998</v>
      </c>
      <c r="D468" s="8">
        <f t="shared" si="22"/>
        <v>1.1926753534472975E-2</v>
      </c>
      <c r="E468" s="41"/>
      <c r="F468" s="41"/>
      <c r="I468" s="85">
        <f t="shared" si="21"/>
        <v>45245</v>
      </c>
      <c r="J468" s="47">
        <v>12.455</v>
      </c>
      <c r="K468" s="8">
        <f t="shared" si="23"/>
        <v>1.3425549227013908E-2</v>
      </c>
      <c r="P468" s="86">
        <v>439</v>
      </c>
      <c r="Q468" s="86">
        <v>4.3643133858055881E-4</v>
      </c>
      <c r="R468" s="86">
        <v>-1.699272272930898E-2</v>
      </c>
    </row>
    <row r="469" spans="2:18">
      <c r="B469" s="85">
        <v>45246</v>
      </c>
      <c r="C469" s="47">
        <v>19765.199218999998</v>
      </c>
      <c r="D469" s="8">
        <f t="shared" si="22"/>
        <v>4.5615222809414222E-3</v>
      </c>
      <c r="E469" s="41"/>
      <c r="F469" s="41"/>
      <c r="I469" s="85">
        <f t="shared" si="21"/>
        <v>45246</v>
      </c>
      <c r="J469" s="47">
        <v>12.164999999999999</v>
      </c>
      <c r="K469" s="8">
        <f t="shared" si="23"/>
        <v>-2.3283821758330062E-2</v>
      </c>
      <c r="P469" s="86">
        <v>440</v>
      </c>
      <c r="Q469" s="86">
        <v>-7.5212581249385038E-4</v>
      </c>
      <c r="R469" s="86">
        <v>1.2115804263672177E-2</v>
      </c>
    </row>
    <row r="470" spans="2:18">
      <c r="B470" s="85">
        <v>45247</v>
      </c>
      <c r="C470" s="47">
        <v>19731.800781000002</v>
      </c>
      <c r="D470" s="8">
        <f t="shared" si="22"/>
        <v>-1.6897597453958925E-3</v>
      </c>
      <c r="E470" s="41"/>
      <c r="F470" s="41"/>
      <c r="I470" s="85">
        <f t="shared" si="21"/>
        <v>45247</v>
      </c>
      <c r="J470" s="47">
        <v>12.21</v>
      </c>
      <c r="K470" s="8">
        <f t="shared" si="23"/>
        <v>3.6991368680642589E-3</v>
      </c>
      <c r="P470" s="86">
        <v>441</v>
      </c>
      <c r="Q470" s="86">
        <v>-9.7040292912937184E-4</v>
      </c>
      <c r="R470" s="86">
        <v>2.2187590985695079E-3</v>
      </c>
    </row>
    <row r="471" spans="2:18">
      <c r="B471" s="85">
        <v>45250</v>
      </c>
      <c r="C471" s="47">
        <v>19694</v>
      </c>
      <c r="D471" s="8">
        <f t="shared" si="22"/>
        <v>-1.9157288997363373E-3</v>
      </c>
      <c r="E471" s="41"/>
      <c r="F471" s="41"/>
      <c r="I471" s="85">
        <f t="shared" si="21"/>
        <v>45250</v>
      </c>
      <c r="J471" s="47">
        <v>12.26</v>
      </c>
      <c r="K471" s="8">
        <f t="shared" si="23"/>
        <v>4.0950040950040074E-3</v>
      </c>
      <c r="P471" s="86">
        <v>442</v>
      </c>
      <c r="Q471" s="86">
        <v>-7.6923989090364124E-4</v>
      </c>
      <c r="R471" s="86">
        <v>-1.9180844063796561E-2</v>
      </c>
    </row>
    <row r="472" spans="2:18">
      <c r="B472" s="85">
        <v>45251</v>
      </c>
      <c r="C472" s="47">
        <v>19783.400390999999</v>
      </c>
      <c r="D472" s="8">
        <f t="shared" si="22"/>
        <v>4.53947349446528E-3</v>
      </c>
      <c r="E472" s="41"/>
      <c r="F472" s="41"/>
      <c r="I472" s="85">
        <f t="shared" si="21"/>
        <v>45251</v>
      </c>
      <c r="J472" s="47">
        <v>11.92</v>
      </c>
      <c r="K472" s="8">
        <f t="shared" si="23"/>
        <v>-2.7732463295269155E-2</v>
      </c>
      <c r="P472" s="86">
        <v>443</v>
      </c>
      <c r="Q472" s="86">
        <v>7.7325163007009091E-5</v>
      </c>
      <c r="R472" s="86">
        <v>-1.0255442211352999E-2</v>
      </c>
    </row>
    <row r="473" spans="2:18">
      <c r="B473" s="85">
        <v>45252</v>
      </c>
      <c r="C473" s="47">
        <v>19811.849609000001</v>
      </c>
      <c r="D473" s="8">
        <f t="shared" si="22"/>
        <v>1.4380347886475513E-3</v>
      </c>
      <c r="E473" s="41"/>
      <c r="F473" s="41"/>
      <c r="I473" s="85">
        <f t="shared" si="21"/>
        <v>45252</v>
      </c>
      <c r="J473" s="47">
        <v>11.9</v>
      </c>
      <c r="K473" s="8">
        <f t="shared" si="23"/>
        <v>-1.6778523489932528E-3</v>
      </c>
      <c r="P473" s="86">
        <v>444</v>
      </c>
      <c r="Q473" s="86">
        <v>-1.7997784135472435E-3</v>
      </c>
      <c r="R473" s="86">
        <v>-2.0051121329383415E-2</v>
      </c>
    </row>
    <row r="474" spans="2:18">
      <c r="B474" s="85">
        <v>45253</v>
      </c>
      <c r="C474" s="47">
        <v>19802</v>
      </c>
      <c r="D474" s="8">
        <f t="shared" si="22"/>
        <v>-4.9715746860537263E-4</v>
      </c>
      <c r="E474" s="41"/>
      <c r="F474" s="41"/>
      <c r="I474" s="85">
        <f t="shared" si="21"/>
        <v>45253</v>
      </c>
      <c r="J474" s="47">
        <v>12.07</v>
      </c>
      <c r="K474" s="8">
        <f t="shared" si="23"/>
        <v>1.428571428571428E-2</v>
      </c>
      <c r="P474" s="86">
        <v>445</v>
      </c>
      <c r="Q474" s="86">
        <v>-1.0022825372413206E-3</v>
      </c>
      <c r="R474" s="86">
        <v>-1.8270647817554945E-2</v>
      </c>
    </row>
    <row r="475" spans="2:18">
      <c r="B475" s="85">
        <v>45254</v>
      </c>
      <c r="C475" s="47">
        <v>19794.699218999998</v>
      </c>
      <c r="D475" s="8">
        <f t="shared" si="22"/>
        <v>-3.686890718110158E-4</v>
      </c>
      <c r="E475" s="41"/>
      <c r="F475" s="41"/>
      <c r="I475" s="85">
        <f t="shared" si="21"/>
        <v>45254</v>
      </c>
      <c r="J475" s="47">
        <v>12.34</v>
      </c>
      <c r="K475" s="8">
        <f t="shared" si="23"/>
        <v>2.2369511184755556E-2</v>
      </c>
      <c r="P475" s="86">
        <v>446</v>
      </c>
      <c r="Q475" s="86">
        <v>-1.3096228919967003E-3</v>
      </c>
      <c r="R475" s="86">
        <v>1.1582155731323712E-2</v>
      </c>
    </row>
    <row r="476" spans="2:18">
      <c r="B476" s="85">
        <v>45258</v>
      </c>
      <c r="C476" s="47">
        <v>19889.699218999998</v>
      </c>
      <c r="D476" s="8">
        <f t="shared" si="22"/>
        <v>4.7992646389298996E-3</v>
      </c>
      <c r="E476" s="41"/>
      <c r="F476" s="41"/>
      <c r="I476" s="85">
        <f t="shared" si="21"/>
        <v>45258</v>
      </c>
      <c r="J476" s="47">
        <v>12.75</v>
      </c>
      <c r="K476" s="8">
        <f t="shared" si="23"/>
        <v>3.3225283630470025E-2</v>
      </c>
      <c r="P476" s="86">
        <v>447</v>
      </c>
      <c r="Q476" s="86">
        <v>-2.8562734337215022E-3</v>
      </c>
      <c r="R476" s="86">
        <v>6.3929664692347126E-3</v>
      </c>
    </row>
    <row r="477" spans="2:18">
      <c r="B477" s="85">
        <v>45259</v>
      </c>
      <c r="C477" s="47">
        <v>20096.599609000001</v>
      </c>
      <c r="D477" s="8">
        <f t="shared" si="22"/>
        <v>1.0402389082000654E-2</v>
      </c>
      <c r="E477" s="41"/>
      <c r="F477" s="41"/>
      <c r="I477" s="85">
        <f t="shared" si="21"/>
        <v>45259</v>
      </c>
      <c r="J477" s="47">
        <v>12.75</v>
      </c>
      <c r="K477" s="8">
        <f t="shared" si="23"/>
        <v>0</v>
      </c>
      <c r="P477" s="86">
        <v>448</v>
      </c>
      <c r="Q477" s="86">
        <v>-2.000573184177048E-3</v>
      </c>
      <c r="R477" s="86">
        <v>-2.4047570182312641E-3</v>
      </c>
    </row>
    <row r="478" spans="2:18">
      <c r="B478" s="85">
        <v>45260</v>
      </c>
      <c r="C478" s="47">
        <v>20133.150390999999</v>
      </c>
      <c r="D478" s="8">
        <f t="shared" si="22"/>
        <v>1.8187545510748814E-3</v>
      </c>
      <c r="E478" s="41"/>
      <c r="F478" s="41"/>
      <c r="I478" s="85">
        <f t="shared" si="21"/>
        <v>45260</v>
      </c>
      <c r="J478" s="47">
        <v>13.21</v>
      </c>
      <c r="K478" s="8">
        <f t="shared" si="23"/>
        <v>3.607843137254909E-2</v>
      </c>
      <c r="P478" s="86">
        <v>449</v>
      </c>
      <c r="Q478" s="86">
        <v>-2.9410760572342646E-3</v>
      </c>
      <c r="R478" s="86">
        <v>-1.2988127482588875E-2</v>
      </c>
    </row>
    <row r="479" spans="2:18">
      <c r="B479" s="85">
        <v>45261</v>
      </c>
      <c r="C479" s="47">
        <v>20267.900390999999</v>
      </c>
      <c r="D479" s="8">
        <f t="shared" si="22"/>
        <v>6.6929416103818744E-3</v>
      </c>
      <c r="E479" s="41"/>
      <c r="F479" s="41"/>
      <c r="I479" s="85">
        <f t="shared" si="21"/>
        <v>45261</v>
      </c>
      <c r="J479" s="47">
        <v>13.895</v>
      </c>
      <c r="K479" s="8">
        <f t="shared" si="23"/>
        <v>5.1854655563966595E-2</v>
      </c>
      <c r="P479" s="86">
        <v>450</v>
      </c>
      <c r="Q479" s="86">
        <v>1.0951086303471031E-3</v>
      </c>
      <c r="R479" s="86">
        <v>-2.5825279493656442E-2</v>
      </c>
    </row>
    <row r="480" spans="2:18">
      <c r="B480" s="85">
        <v>45264</v>
      </c>
      <c r="C480" s="47">
        <v>20686.800781000002</v>
      </c>
      <c r="D480" s="8">
        <f t="shared" si="22"/>
        <v>2.0668168972550114E-2</v>
      </c>
      <c r="E480" s="41"/>
      <c r="F480" s="41"/>
      <c r="I480" s="85">
        <f t="shared" si="21"/>
        <v>45264</v>
      </c>
      <c r="J480" s="47">
        <v>13.75</v>
      </c>
      <c r="K480" s="8">
        <f t="shared" si="23"/>
        <v>-1.043540842029504E-2</v>
      </c>
      <c r="P480" s="86">
        <v>451</v>
      </c>
      <c r="Q480" s="86">
        <v>2.2492108552165963E-4</v>
      </c>
      <c r="R480" s="86">
        <v>-1.0828977765832507E-2</v>
      </c>
    </row>
    <row r="481" spans="2:18">
      <c r="B481" s="85">
        <v>45265</v>
      </c>
      <c r="C481" s="47">
        <v>20855.099609000001</v>
      </c>
      <c r="D481" s="8">
        <f t="shared" si="22"/>
        <v>8.1355657543033325E-3</v>
      </c>
      <c r="E481" s="41"/>
      <c r="F481" s="41"/>
      <c r="I481" s="85">
        <f t="shared" si="21"/>
        <v>45265</v>
      </c>
      <c r="J481" s="47">
        <v>13.574999999999999</v>
      </c>
      <c r="K481" s="8">
        <f t="shared" si="23"/>
        <v>-1.272727272727278E-2</v>
      </c>
      <c r="P481" s="86">
        <v>452</v>
      </c>
      <c r="Q481" s="86">
        <v>-1.1446099769673397E-3</v>
      </c>
      <c r="R481" s="86">
        <v>-0.3746708315801362</v>
      </c>
    </row>
    <row r="482" spans="2:18">
      <c r="B482" s="85">
        <v>45266</v>
      </c>
      <c r="C482" s="47">
        <v>20937.699218999998</v>
      </c>
      <c r="D482" s="8">
        <f t="shared" si="22"/>
        <v>3.9606432742403056E-3</v>
      </c>
      <c r="E482" s="41"/>
      <c r="F482" s="41"/>
      <c r="I482" s="85">
        <f t="shared" si="21"/>
        <v>45266</v>
      </c>
      <c r="J482" s="47">
        <v>13.68</v>
      </c>
      <c r="K482" s="8">
        <f t="shared" si="23"/>
        <v>7.7348066298342857E-3</v>
      </c>
      <c r="P482" s="86">
        <v>453</v>
      </c>
      <c r="Q482" s="86">
        <v>-1.4040350940902526E-3</v>
      </c>
      <c r="R482" s="86">
        <v>-6.8079843161374023E-3</v>
      </c>
    </row>
    <row r="483" spans="2:18">
      <c r="B483" s="85">
        <v>45267</v>
      </c>
      <c r="C483" s="47">
        <v>20901.150390999999</v>
      </c>
      <c r="D483" s="8">
        <f t="shared" si="22"/>
        <v>-1.7455990564060003E-3</v>
      </c>
      <c r="E483" s="41"/>
      <c r="F483" s="41"/>
      <c r="I483" s="85">
        <f t="shared" si="21"/>
        <v>45267</v>
      </c>
      <c r="J483" s="47">
        <v>13.875</v>
      </c>
      <c r="K483" s="8">
        <f t="shared" si="23"/>
        <v>1.4254385964912302E-2</v>
      </c>
      <c r="P483" s="86">
        <v>454</v>
      </c>
      <c r="Q483" s="86">
        <v>6.755840131087925E-4</v>
      </c>
      <c r="R483" s="86">
        <v>-1.6859249801592032E-2</v>
      </c>
    </row>
    <row r="484" spans="2:18">
      <c r="B484" s="85">
        <v>45268</v>
      </c>
      <c r="C484" s="47">
        <v>20969.400390999999</v>
      </c>
      <c r="D484" s="8">
        <f t="shared" si="22"/>
        <v>3.2653705046487938E-3</v>
      </c>
      <c r="E484" s="41"/>
      <c r="F484" s="41"/>
      <c r="I484" s="85">
        <f t="shared" si="21"/>
        <v>45268</v>
      </c>
      <c r="J484" s="47">
        <v>13.105</v>
      </c>
      <c r="K484" s="8">
        <f t="shared" si="23"/>
        <v>-5.5495495495495463E-2</v>
      </c>
      <c r="P484" s="86">
        <v>455</v>
      </c>
      <c r="Q484" s="86">
        <v>2.5380499896205809E-4</v>
      </c>
      <c r="R484" s="86">
        <v>4.4887740525138928E-2</v>
      </c>
    </row>
    <row r="485" spans="2:18">
      <c r="B485" s="85">
        <v>45271</v>
      </c>
      <c r="C485" s="47">
        <v>20997.099609000001</v>
      </c>
      <c r="D485" s="8">
        <f t="shared" si="22"/>
        <v>1.3209351475729359E-3</v>
      </c>
      <c r="E485" s="41"/>
      <c r="F485" s="41"/>
      <c r="I485" s="85">
        <f t="shared" si="21"/>
        <v>45271</v>
      </c>
      <c r="J485" s="47">
        <v>13.414999999999999</v>
      </c>
      <c r="K485" s="8">
        <f t="shared" si="23"/>
        <v>2.3655093475772507E-2</v>
      </c>
      <c r="P485" s="86">
        <v>456</v>
      </c>
      <c r="Q485" s="86">
        <v>9.8449208107119013E-4</v>
      </c>
      <c r="R485" s="86">
        <v>-1.9652134833633473E-2</v>
      </c>
    </row>
    <row r="486" spans="2:18">
      <c r="B486" s="85">
        <v>45272</v>
      </c>
      <c r="C486" s="47">
        <v>20906.400390999999</v>
      </c>
      <c r="D486" s="8">
        <f t="shared" si="22"/>
        <v>-4.3196069785336015E-3</v>
      </c>
      <c r="E486" s="41"/>
      <c r="F486" s="41"/>
      <c r="I486" s="85">
        <f t="shared" si="21"/>
        <v>45272</v>
      </c>
      <c r="J486" s="47">
        <v>14.17</v>
      </c>
      <c r="K486" s="8">
        <f t="shared" si="23"/>
        <v>5.6280283265001924E-2</v>
      </c>
      <c r="P486" s="86">
        <v>457</v>
      </c>
      <c r="Q486" s="86">
        <v>-6.4829808843751551E-4</v>
      </c>
      <c r="R486" s="86">
        <v>-9.0495758392013514E-3</v>
      </c>
    </row>
    <row r="487" spans="2:18">
      <c r="B487" s="85">
        <v>45273</v>
      </c>
      <c r="C487" s="47">
        <v>20926.349609000001</v>
      </c>
      <c r="D487" s="8">
        <f t="shared" si="22"/>
        <v>9.5421582036616444E-4</v>
      </c>
      <c r="E487" s="41"/>
      <c r="F487" s="41"/>
      <c r="I487" s="85">
        <f t="shared" si="21"/>
        <v>45273</v>
      </c>
      <c r="J487" s="47">
        <v>12.04</v>
      </c>
      <c r="K487" s="8">
        <f t="shared" si="23"/>
        <v>-0.15031757233592102</v>
      </c>
      <c r="P487" s="86">
        <v>458</v>
      </c>
      <c r="Q487" s="86">
        <v>-2.8455303135509674E-4</v>
      </c>
      <c r="R487" s="86">
        <v>-3.8510173898965092E-2</v>
      </c>
    </row>
    <row r="488" spans="2:18">
      <c r="B488" s="85">
        <v>45274</v>
      </c>
      <c r="C488" s="47">
        <v>21182.699218999998</v>
      </c>
      <c r="D488" s="8">
        <f t="shared" si="22"/>
        <v>1.225008732004299E-2</v>
      </c>
      <c r="E488" s="41"/>
      <c r="F488" s="41"/>
      <c r="I488" s="85">
        <f t="shared" si="21"/>
        <v>45274</v>
      </c>
      <c r="J488" s="47">
        <v>12.57</v>
      </c>
      <c r="K488" s="8">
        <f t="shared" si="23"/>
        <v>4.4019933554817377E-2</v>
      </c>
      <c r="P488" s="86">
        <v>459</v>
      </c>
      <c r="Q488" s="86">
        <v>-1.0225449942752841E-3</v>
      </c>
      <c r="R488" s="86">
        <v>2.3884593471417228E-4</v>
      </c>
    </row>
    <row r="489" spans="2:18">
      <c r="B489" s="85">
        <v>45275</v>
      </c>
      <c r="C489" s="47">
        <v>21456.650390999999</v>
      </c>
      <c r="D489" s="8">
        <f t="shared" si="22"/>
        <v>1.2932779206640398E-2</v>
      </c>
      <c r="E489" s="41"/>
      <c r="F489" s="41"/>
      <c r="I489" s="85">
        <f t="shared" si="21"/>
        <v>45275</v>
      </c>
      <c r="J489" s="47">
        <v>12.365</v>
      </c>
      <c r="K489" s="8">
        <f t="shared" si="23"/>
        <v>-1.6308671439936362E-2</v>
      </c>
      <c r="P489" s="86">
        <v>460</v>
      </c>
      <c r="Q489" s="86">
        <v>-3.4308472784310654E-4</v>
      </c>
      <c r="R489" s="86">
        <v>-2.6323581938823549E-2</v>
      </c>
    </row>
    <row r="490" spans="2:18">
      <c r="B490" s="85">
        <v>45278</v>
      </c>
      <c r="C490" s="47">
        <v>21418.650390999999</v>
      </c>
      <c r="D490" s="8">
        <f t="shared" si="22"/>
        <v>-1.7710126840645693E-3</v>
      </c>
      <c r="E490" s="41"/>
      <c r="F490" s="41"/>
      <c r="I490" s="85">
        <f t="shared" si="21"/>
        <v>45278</v>
      </c>
      <c r="J490" s="47">
        <v>12.37</v>
      </c>
      <c r="K490" s="8">
        <f t="shared" si="23"/>
        <v>4.0436716538609017E-4</v>
      </c>
      <c r="P490" s="86">
        <v>461</v>
      </c>
      <c r="Q490" s="86">
        <v>-4.4636503133187449E-4</v>
      </c>
      <c r="R490" s="86">
        <v>-9.223256241835006E-3</v>
      </c>
    </row>
    <row r="491" spans="2:18">
      <c r="B491" s="85">
        <v>45279</v>
      </c>
      <c r="C491" s="47">
        <v>21453.099609000001</v>
      </c>
      <c r="D491" s="8">
        <f t="shared" si="22"/>
        <v>1.6083748215282947E-3</v>
      </c>
      <c r="E491" s="41"/>
      <c r="F491" s="41"/>
      <c r="I491" s="85">
        <f t="shared" si="21"/>
        <v>45279</v>
      </c>
      <c r="J491" s="47">
        <v>12.455</v>
      </c>
      <c r="K491" s="8">
        <f t="shared" si="23"/>
        <v>6.8714632174616697E-3</v>
      </c>
      <c r="P491" s="86">
        <v>462</v>
      </c>
      <c r="Q491" s="86">
        <v>1.4073350460911084E-3</v>
      </c>
      <c r="R491" s="86">
        <v>1.20182141809228E-2</v>
      </c>
    </row>
    <row r="492" spans="2:18">
      <c r="B492" s="85">
        <v>45280</v>
      </c>
      <c r="C492" s="47">
        <v>21150.150390999999</v>
      </c>
      <c r="D492" s="8">
        <f t="shared" si="22"/>
        <v>-1.4121466059520292E-2</v>
      </c>
      <c r="E492" s="41"/>
      <c r="F492" s="41"/>
      <c r="I492" s="85">
        <f t="shared" si="21"/>
        <v>45280</v>
      </c>
      <c r="J492" s="47">
        <v>12.455</v>
      </c>
      <c r="K492" s="8">
        <f t="shared" si="23"/>
        <v>0</v>
      </c>
      <c r="P492" s="86">
        <v>463</v>
      </c>
      <c r="Q492" s="86">
        <v>1.6500460053515335E-4</v>
      </c>
      <c r="R492" s="86">
        <v>-2.3448826358865214E-2</v>
      </c>
    </row>
    <row r="493" spans="2:18">
      <c r="B493" s="85">
        <v>45281</v>
      </c>
      <c r="C493" s="47">
        <v>21255.050781000002</v>
      </c>
      <c r="D493" s="8">
        <f t="shared" si="22"/>
        <v>4.9597940468849178E-3</v>
      </c>
      <c r="E493" s="41"/>
      <c r="F493" s="41"/>
      <c r="I493" s="85">
        <f t="shared" si="21"/>
        <v>45281</v>
      </c>
      <c r="J493" s="47">
        <v>12.33</v>
      </c>
      <c r="K493" s="8">
        <f t="shared" si="23"/>
        <v>-1.0036130068245684E-2</v>
      </c>
      <c r="P493" s="86">
        <v>464</v>
      </c>
      <c r="Q493" s="86">
        <v>-8.8943044946436663E-4</v>
      </c>
      <c r="R493" s="86">
        <v>4.5885673175286258E-3</v>
      </c>
    </row>
    <row r="494" spans="2:18">
      <c r="B494" s="85">
        <v>45282</v>
      </c>
      <c r="C494" s="47">
        <v>21349.400390999999</v>
      </c>
      <c r="D494" s="8">
        <f t="shared" si="22"/>
        <v>4.4389265860675844E-3</v>
      </c>
      <c r="E494" s="41"/>
      <c r="F494" s="41"/>
      <c r="I494" s="85">
        <f t="shared" si="21"/>
        <v>45282</v>
      </c>
      <c r="J494" s="47">
        <v>12.32</v>
      </c>
      <c r="K494" s="8">
        <f t="shared" si="23"/>
        <v>-8.1103000811028276E-4</v>
      </c>
      <c r="P494" s="86">
        <v>465</v>
      </c>
      <c r="Q494" s="86">
        <v>-9.2754579853219945E-4</v>
      </c>
      <c r="R494" s="86">
        <v>5.0225498935362071E-3</v>
      </c>
    </row>
    <row r="495" spans="2:18">
      <c r="B495" s="85">
        <v>45286</v>
      </c>
      <c r="C495" s="47">
        <v>21441.349609000001</v>
      </c>
      <c r="D495" s="8">
        <f t="shared" si="22"/>
        <v>4.3068758989017533E-3</v>
      </c>
      <c r="E495" s="41"/>
      <c r="F495" s="41"/>
      <c r="I495" s="85">
        <f t="shared" si="21"/>
        <v>45286</v>
      </c>
      <c r="J495" s="47">
        <v>12.215</v>
      </c>
      <c r="K495" s="8">
        <f t="shared" si="23"/>
        <v>-8.5227272727273068E-3</v>
      </c>
      <c r="P495" s="86">
        <v>466</v>
      </c>
      <c r="Q495" s="86">
        <v>1.6128552128509728E-4</v>
      </c>
      <c r="R495" s="86">
        <v>-2.7893748816554251E-2</v>
      </c>
    </row>
    <row r="496" spans="2:18">
      <c r="B496" s="85">
        <v>45287</v>
      </c>
      <c r="C496" s="47">
        <v>21654.75</v>
      </c>
      <c r="D496" s="8">
        <f t="shared" si="22"/>
        <v>9.9527499383912123E-3</v>
      </c>
      <c r="E496" s="41"/>
      <c r="F496" s="41"/>
      <c r="I496" s="85">
        <f t="shared" si="21"/>
        <v>45287</v>
      </c>
      <c r="J496" s="47">
        <v>11.92</v>
      </c>
      <c r="K496" s="8">
        <f t="shared" si="23"/>
        <v>-2.4150634465820706E-2</v>
      </c>
      <c r="P496" s="86">
        <v>467</v>
      </c>
      <c r="Q496" s="86">
        <v>-3.6184967931237808E-4</v>
      </c>
      <c r="R496" s="86">
        <v>-1.3160026696808747E-3</v>
      </c>
    </row>
    <row r="497" spans="2:18">
      <c r="B497" s="85">
        <v>45288</v>
      </c>
      <c r="C497" s="47">
        <v>21778.699218999998</v>
      </c>
      <c r="D497" s="8">
        <f t="shared" si="22"/>
        <v>5.7238813193409418E-3</v>
      </c>
      <c r="E497" s="41"/>
      <c r="F497" s="41"/>
      <c r="I497" s="85">
        <f t="shared" si="21"/>
        <v>45288</v>
      </c>
      <c r="J497" s="47">
        <v>11.494999999999999</v>
      </c>
      <c r="K497" s="8">
        <f t="shared" si="23"/>
        <v>-3.5654362416107442E-2</v>
      </c>
      <c r="P497" s="86">
        <v>468</v>
      </c>
      <c r="Q497" s="86">
        <v>-6.8826825008525038E-4</v>
      </c>
      <c r="R497" s="86">
        <v>1.497398253579953E-2</v>
      </c>
    </row>
    <row r="498" spans="2:18">
      <c r="B498" s="85">
        <v>45289</v>
      </c>
      <c r="C498" s="47">
        <v>21731.400390999999</v>
      </c>
      <c r="D498" s="8">
        <f t="shared" si="22"/>
        <v>-2.1717930682809091E-3</v>
      </c>
      <c r="E498" s="41"/>
      <c r="F498" s="41"/>
      <c r="I498" s="85">
        <f t="shared" si="21"/>
        <v>45289</v>
      </c>
      <c r="J498" s="47">
        <v>11.37</v>
      </c>
      <c r="K498" s="8">
        <f t="shared" si="23"/>
        <v>-1.0874293170943889E-2</v>
      </c>
      <c r="P498" s="86">
        <v>469</v>
      </c>
      <c r="Q498" s="86">
        <v>-6.665988421419674E-4</v>
      </c>
      <c r="R498" s="86">
        <v>2.3036110026897524E-2</v>
      </c>
    </row>
    <row r="499" spans="2:18">
      <c r="B499" s="85">
        <v>45292</v>
      </c>
      <c r="C499" s="47">
        <v>21741.900390999999</v>
      </c>
      <c r="D499" s="8">
        <f t="shared" si="22"/>
        <v>4.8317180720431377E-4</v>
      </c>
      <c r="E499" s="41"/>
      <c r="F499" s="41"/>
      <c r="I499" s="85">
        <f t="shared" si="21"/>
        <v>45292</v>
      </c>
      <c r="J499" s="47">
        <v>11.81</v>
      </c>
      <c r="K499" s="8">
        <f t="shared" si="23"/>
        <v>3.869832893579607E-2</v>
      </c>
      <c r="P499" s="86">
        <v>470</v>
      </c>
      <c r="Q499" s="86">
        <v>2.0510579483040768E-4</v>
      </c>
      <c r="R499" s="86">
        <v>3.3020177835639618E-2</v>
      </c>
    </row>
    <row r="500" spans="2:18">
      <c r="B500" s="85">
        <v>45293</v>
      </c>
      <c r="C500" s="47">
        <v>21665.800781000002</v>
      </c>
      <c r="D500" s="8">
        <f t="shared" si="22"/>
        <v>-3.500136079709882E-3</v>
      </c>
      <c r="E500" s="41"/>
      <c r="F500" s="41"/>
      <c r="I500" s="85">
        <f t="shared" si="21"/>
        <v>45293</v>
      </c>
      <c r="J500" s="47">
        <v>11.425000000000001</v>
      </c>
      <c r="K500" s="8">
        <f t="shared" si="23"/>
        <v>-3.2599491955969499E-2</v>
      </c>
      <c r="P500" s="86">
        <v>471</v>
      </c>
      <c r="Q500" s="86">
        <v>1.1502128588520375E-3</v>
      </c>
      <c r="R500" s="86">
        <v>-1.1502128588520375E-3</v>
      </c>
    </row>
    <row r="501" spans="2:18">
      <c r="B501" s="85">
        <v>45294</v>
      </c>
      <c r="C501" s="47">
        <v>21517.349609000001</v>
      </c>
      <c r="D501" s="8">
        <f t="shared" si="22"/>
        <v>-6.851866381518028E-3</v>
      </c>
      <c r="E501" s="41"/>
      <c r="F501" s="41"/>
      <c r="I501" s="85">
        <f t="shared" si="21"/>
        <v>45294</v>
      </c>
      <c r="J501" s="47">
        <v>11.205</v>
      </c>
      <c r="K501" s="8">
        <f t="shared" si="23"/>
        <v>-1.9256017505470513E-2</v>
      </c>
      <c r="P501" s="86">
        <v>472</v>
      </c>
      <c r="Q501" s="86">
        <v>-2.9763177008359273E-4</v>
      </c>
      <c r="R501" s="86">
        <v>3.6376063142632684E-2</v>
      </c>
    </row>
    <row r="502" spans="2:18">
      <c r="B502" s="85">
        <v>45295</v>
      </c>
      <c r="C502" s="47">
        <v>21658.599609000001</v>
      </c>
      <c r="D502" s="8">
        <f t="shared" si="22"/>
        <v>6.5644701864638463E-3</v>
      </c>
      <c r="E502" s="41"/>
      <c r="F502" s="41"/>
      <c r="I502" s="85">
        <f t="shared" si="21"/>
        <v>45295</v>
      </c>
      <c r="J502" s="47">
        <v>11.595000000000001</v>
      </c>
      <c r="K502" s="8">
        <f t="shared" si="23"/>
        <v>3.4805890227577026E-2</v>
      </c>
      <c r="P502" s="86">
        <v>473</v>
      </c>
      <c r="Q502" s="86">
        <v>5.2452177441081121E-4</v>
      </c>
      <c r="R502" s="86">
        <v>5.1330133789555782E-2</v>
      </c>
    </row>
    <row r="503" spans="2:18">
      <c r="B503" s="85">
        <v>45296</v>
      </c>
      <c r="C503" s="47">
        <v>21710.800781000002</v>
      </c>
      <c r="D503" s="8">
        <f t="shared" si="22"/>
        <v>2.410182234418762E-3</v>
      </c>
      <c r="E503" s="41"/>
      <c r="F503" s="41"/>
      <c r="I503" s="85">
        <f t="shared" si="21"/>
        <v>45296</v>
      </c>
      <c r="J503" s="47">
        <v>11.63</v>
      </c>
      <c r="K503" s="8">
        <f t="shared" si="23"/>
        <v>3.0185424752048415E-3</v>
      </c>
      <c r="P503" s="86">
        <v>474</v>
      </c>
      <c r="Q503" s="86">
        <v>2.8817933709086693E-3</v>
      </c>
      <c r="R503" s="86">
        <v>-1.3317201791203709E-2</v>
      </c>
    </row>
    <row r="504" spans="2:18">
      <c r="B504" s="85">
        <v>45299</v>
      </c>
      <c r="C504" s="47">
        <v>21513</v>
      </c>
      <c r="D504" s="8">
        <f t="shared" si="22"/>
        <v>-9.1107086742330205E-3</v>
      </c>
      <c r="E504" s="41"/>
      <c r="F504" s="41"/>
      <c r="I504" s="85">
        <f t="shared" si="21"/>
        <v>45299</v>
      </c>
      <c r="J504" s="47">
        <v>11.69</v>
      </c>
      <c r="K504" s="8">
        <f t="shared" si="23"/>
        <v>5.1590713671538016E-3</v>
      </c>
      <c r="P504" s="86">
        <v>475</v>
      </c>
      <c r="Q504" s="86">
        <v>7.6785641439626625E-4</v>
      </c>
      <c r="R504" s="86">
        <v>-1.3495129141669046E-2</v>
      </c>
    </row>
    <row r="505" spans="2:18">
      <c r="B505" s="85">
        <v>45300</v>
      </c>
      <c r="C505" s="47">
        <v>21544.849609000001</v>
      </c>
      <c r="D505" s="8">
        <f t="shared" si="22"/>
        <v>1.4804819876354197E-3</v>
      </c>
      <c r="E505" s="41"/>
      <c r="F505" s="41"/>
      <c r="I505" s="85">
        <f t="shared" si="21"/>
        <v>45300</v>
      </c>
      <c r="J505" s="47">
        <v>11.345000000000001</v>
      </c>
      <c r="K505" s="8">
        <f t="shared" si="23"/>
        <v>-2.9512403763900675E-2</v>
      </c>
      <c r="P505" s="86">
        <v>476</v>
      </c>
      <c r="Q505" s="86">
        <v>6.3651328869408449E-5</v>
      </c>
      <c r="R505" s="86">
        <v>7.671155300964877E-3</v>
      </c>
    </row>
    <row r="506" spans="2:18">
      <c r="B506" s="85">
        <v>45301</v>
      </c>
      <c r="C506" s="47">
        <v>21618.699218999998</v>
      </c>
      <c r="D506" s="8">
        <f t="shared" si="22"/>
        <v>3.4277152702494634E-3</v>
      </c>
      <c r="E506" s="41"/>
      <c r="F506" s="41"/>
      <c r="I506" s="85">
        <f t="shared" si="21"/>
        <v>45301</v>
      </c>
      <c r="J506" s="47">
        <v>11.08</v>
      </c>
      <c r="K506" s="8">
        <f t="shared" si="23"/>
        <v>-2.3358307624504235E-2</v>
      </c>
      <c r="P506" s="86">
        <v>477</v>
      </c>
      <c r="Q506" s="86">
        <v>-8.988491457331989E-4</v>
      </c>
      <c r="R506" s="86">
        <v>1.5153235110645501E-2</v>
      </c>
    </row>
    <row r="507" spans="2:18">
      <c r="B507" s="85">
        <v>45302</v>
      </c>
      <c r="C507" s="47">
        <v>21647.199218999998</v>
      </c>
      <c r="D507" s="8">
        <f t="shared" si="22"/>
        <v>1.3183031833364073E-3</v>
      </c>
      <c r="E507" s="41"/>
      <c r="F507" s="41"/>
      <c r="I507" s="85">
        <f t="shared" si="21"/>
        <v>45302</v>
      </c>
      <c r="J507" s="47">
        <v>10.695</v>
      </c>
      <c r="K507" s="8">
        <f t="shared" si="23"/>
        <v>-3.4747292418772543E-2</v>
      </c>
      <c r="P507" s="86">
        <v>478</v>
      </c>
      <c r="Q507" s="86">
        <v>-5.3623811570395453E-5</v>
      </c>
      <c r="R507" s="86">
        <v>-5.5441871683925066E-2</v>
      </c>
    </row>
    <row r="508" spans="2:18">
      <c r="B508" s="85">
        <v>45303</v>
      </c>
      <c r="C508" s="47">
        <v>21894.550781000002</v>
      </c>
      <c r="D508" s="8">
        <f t="shared" si="22"/>
        <v>1.1426492614476431E-2</v>
      </c>
      <c r="E508" s="41"/>
      <c r="F508" s="41"/>
      <c r="I508" s="85">
        <f t="shared" si="21"/>
        <v>45303</v>
      </c>
      <c r="J508" s="47">
        <v>11.645</v>
      </c>
      <c r="K508" s="8">
        <f t="shared" si="23"/>
        <v>8.882655446470307E-2</v>
      </c>
      <c r="P508" s="86">
        <v>479</v>
      </c>
      <c r="Q508" s="86">
        <v>-3.816014622860512E-4</v>
      </c>
      <c r="R508" s="86">
        <v>2.4036694938058559E-2</v>
      </c>
    </row>
    <row r="509" spans="2:18">
      <c r="B509" s="85">
        <v>45306</v>
      </c>
      <c r="C509" s="47">
        <v>22097.449218999998</v>
      </c>
      <c r="D509" s="8">
        <f t="shared" si="22"/>
        <v>9.2670747177910108E-3</v>
      </c>
      <c r="E509" s="41"/>
      <c r="F509" s="41"/>
      <c r="I509" s="85">
        <f t="shared" si="21"/>
        <v>45306</v>
      </c>
      <c r="J509" s="47">
        <v>12.05</v>
      </c>
      <c r="K509" s="8">
        <f t="shared" si="23"/>
        <v>3.47788750536712E-2</v>
      </c>
      <c r="P509" s="86">
        <v>480</v>
      </c>
      <c r="Q509" s="86">
        <v>-1.3330199543182034E-3</v>
      </c>
      <c r="R509" s="86">
        <v>5.7613303219320129E-2</v>
      </c>
    </row>
    <row r="510" spans="2:18">
      <c r="B510" s="85">
        <v>45307</v>
      </c>
      <c r="C510" s="47">
        <v>22032.300781000002</v>
      </c>
      <c r="D510" s="8">
        <f t="shared" si="22"/>
        <v>-2.9482334071382365E-3</v>
      </c>
      <c r="E510" s="41"/>
      <c r="F510" s="41"/>
      <c r="I510" s="85">
        <f t="shared" si="21"/>
        <v>45307</v>
      </c>
      <c r="J510" s="47">
        <v>12.055</v>
      </c>
      <c r="K510" s="8">
        <f t="shared" si="23"/>
        <v>4.1493775933601701E-4</v>
      </c>
      <c r="P510" s="86">
        <v>481</v>
      </c>
      <c r="Q510" s="86">
        <v>-4.4345784798260608E-4</v>
      </c>
      <c r="R510" s="86">
        <v>-0.14987411448793841</v>
      </c>
    </row>
    <row r="511" spans="2:18">
      <c r="B511" s="85">
        <v>45308</v>
      </c>
      <c r="C511" s="47">
        <v>21571.949218999998</v>
      </c>
      <c r="D511" s="8">
        <f t="shared" si="22"/>
        <v>-2.0894393489625782E-2</v>
      </c>
      <c r="E511" s="41"/>
      <c r="F511" s="41"/>
      <c r="I511" s="85">
        <f t="shared" si="21"/>
        <v>45308</v>
      </c>
      <c r="J511" s="47">
        <v>12.225</v>
      </c>
      <c r="K511" s="8">
        <f t="shared" si="23"/>
        <v>1.4102032351721272E-2</v>
      </c>
      <c r="P511" s="86">
        <v>482</v>
      </c>
      <c r="Q511" s="86">
        <v>1.461873375175872E-3</v>
      </c>
      <c r="R511" s="86">
        <v>4.2558060179641505E-2</v>
      </c>
    </row>
    <row r="512" spans="2:18">
      <c r="B512" s="85">
        <v>45309</v>
      </c>
      <c r="C512" s="47">
        <v>21462.25</v>
      </c>
      <c r="D512" s="8">
        <f t="shared" si="22"/>
        <v>-5.0852715202656844E-3</v>
      </c>
      <c r="E512" s="41"/>
      <c r="F512" s="41"/>
      <c r="I512" s="85">
        <f t="shared" si="21"/>
        <v>45309</v>
      </c>
      <c r="J512" s="47">
        <v>12.185</v>
      </c>
      <c r="K512" s="8">
        <f t="shared" si="23"/>
        <v>-3.2719836400817298E-3</v>
      </c>
      <c r="P512" s="86">
        <v>483</v>
      </c>
      <c r="Q512" s="86">
        <v>1.5770264350675523E-3</v>
      </c>
      <c r="R512" s="86">
        <v>-1.7885697875003916E-2</v>
      </c>
    </row>
    <row r="513" spans="2:18">
      <c r="B513" s="85">
        <v>45310</v>
      </c>
      <c r="C513" s="47">
        <v>21622.400390999999</v>
      </c>
      <c r="D513" s="8">
        <f t="shared" si="22"/>
        <v>7.4619572039277904E-3</v>
      </c>
      <c r="E513" s="41"/>
      <c r="F513" s="41"/>
      <c r="I513" s="85">
        <f t="shared" si="21"/>
        <v>45310</v>
      </c>
      <c r="J513" s="47">
        <v>12.215</v>
      </c>
      <c r="K513" s="8">
        <f t="shared" si="23"/>
        <v>2.4620434961017119E-3</v>
      </c>
      <c r="P513" s="86">
        <v>484</v>
      </c>
      <c r="Q513" s="86">
        <v>-9.0313578959887869E-4</v>
      </c>
      <c r="R513" s="86">
        <v>1.3075029549849688E-3</v>
      </c>
    </row>
    <row r="514" spans="2:18">
      <c r="B514" s="85">
        <v>45314</v>
      </c>
      <c r="C514" s="47">
        <v>21238.800781000002</v>
      </c>
      <c r="D514" s="8">
        <f t="shared" si="22"/>
        <v>-1.7740842971331949E-2</v>
      </c>
      <c r="E514" s="41"/>
      <c r="F514" s="41"/>
      <c r="I514" s="85">
        <f t="shared" si="21"/>
        <v>45314</v>
      </c>
      <c r="J514" s="47">
        <v>12.005000000000001</v>
      </c>
      <c r="K514" s="8">
        <f t="shared" si="23"/>
        <v>-1.7191977077363821E-2</v>
      </c>
      <c r="P514" s="86">
        <v>485</v>
      </c>
      <c r="Q514" s="86">
        <v>-3.3311757278914014E-4</v>
      </c>
      <c r="R514" s="86">
        <v>7.2045807902508096E-3</v>
      </c>
    </row>
    <row r="515" spans="2:18">
      <c r="B515" s="85">
        <v>45315</v>
      </c>
      <c r="C515" s="47">
        <v>21453.949218999998</v>
      </c>
      <c r="D515" s="8">
        <f t="shared" si="22"/>
        <v>1.0129971094811811E-2</v>
      </c>
      <c r="E515" s="41"/>
      <c r="F515" s="41"/>
      <c r="I515" s="85">
        <f t="shared" si="21"/>
        <v>45315</v>
      </c>
      <c r="J515" s="47">
        <v>12.205</v>
      </c>
      <c r="K515" s="8">
        <f t="shared" si="23"/>
        <v>1.6659725114535551E-2</v>
      </c>
      <c r="P515" s="86">
        <v>486</v>
      </c>
      <c r="Q515" s="86">
        <v>-2.9863486197990144E-3</v>
      </c>
      <c r="R515" s="86">
        <v>2.9863486197990144E-3</v>
      </c>
    </row>
    <row r="516" spans="2:18">
      <c r="B516" s="85">
        <v>45316</v>
      </c>
      <c r="C516" s="47">
        <v>21352.599609000001</v>
      </c>
      <c r="D516" s="8">
        <f t="shared" si="22"/>
        <v>-4.7240537844771471E-3</v>
      </c>
      <c r="E516" s="41"/>
      <c r="F516" s="41"/>
      <c r="I516" s="85">
        <f t="shared" si="21"/>
        <v>45316</v>
      </c>
      <c r="J516" s="47">
        <v>12.135</v>
      </c>
      <c r="K516" s="8">
        <f t="shared" si="23"/>
        <v>-5.7353543629660208E-3</v>
      </c>
      <c r="P516" s="86">
        <v>487</v>
      </c>
      <c r="Q516" s="86">
        <v>2.3218309410922753E-4</v>
      </c>
      <c r="R516" s="86">
        <v>-1.0268313162354912E-2</v>
      </c>
    </row>
    <row r="517" spans="2:18">
      <c r="B517" s="85">
        <v>45320</v>
      </c>
      <c r="C517" s="47">
        <v>21737.599609000001</v>
      </c>
      <c r="D517" s="8">
        <f t="shared" si="22"/>
        <v>1.8030591452561338E-2</v>
      </c>
      <c r="E517" s="41"/>
      <c r="F517" s="41"/>
      <c r="I517" s="85">
        <f t="shared" si="21"/>
        <v>45320</v>
      </c>
      <c r="J517" s="47">
        <v>12.18</v>
      </c>
      <c r="K517" s="8">
        <f t="shared" si="23"/>
        <v>3.7082818294190299E-3</v>
      </c>
      <c r="P517" s="86">
        <v>488</v>
      </c>
      <c r="Q517" s="86">
        <v>1.4432577063923824E-4</v>
      </c>
      <c r="R517" s="86">
        <v>-9.5535577874952099E-4</v>
      </c>
    </row>
    <row r="518" spans="2:18">
      <c r="B518" s="85">
        <v>45321</v>
      </c>
      <c r="C518" s="47">
        <v>21522.099609000001</v>
      </c>
      <c r="D518" s="8">
        <f t="shared" si="22"/>
        <v>-9.9136981026542014E-3</v>
      </c>
      <c r="E518" s="41"/>
      <c r="F518" s="41"/>
      <c r="I518" s="85">
        <f t="shared" si="21"/>
        <v>45321</v>
      </c>
      <c r="J518" s="47">
        <v>12.17</v>
      </c>
      <c r="K518" s="8">
        <f t="shared" si="23"/>
        <v>-8.2101806239735526E-4</v>
      </c>
      <c r="P518" s="86">
        <v>489</v>
      </c>
      <c r="Q518" s="86">
        <v>1.220521198364835E-4</v>
      </c>
      <c r="R518" s="86">
        <v>-8.6447793925637905E-3</v>
      </c>
    </row>
    <row r="519" spans="2:18">
      <c r="B519" s="85">
        <v>45322</v>
      </c>
      <c r="C519" s="47">
        <v>21725.699218999998</v>
      </c>
      <c r="D519" s="8">
        <f t="shared" si="22"/>
        <v>9.4600254482075374E-3</v>
      </c>
      <c r="E519" s="41"/>
      <c r="F519" s="41"/>
      <c r="I519" s="85">
        <f t="shared" ref="I519:I582" si="24">B519</f>
        <v>45322</v>
      </c>
      <c r="J519" s="47">
        <v>10.965</v>
      </c>
      <c r="K519" s="8">
        <f t="shared" si="23"/>
        <v>-9.9013968775677905E-2</v>
      </c>
      <c r="P519" s="86">
        <v>490</v>
      </c>
      <c r="Q519" s="86">
        <v>1.0743699724047352E-3</v>
      </c>
      <c r="R519" s="86">
        <v>-2.5225004438225441E-2</v>
      </c>
    </row>
    <row r="520" spans="2:18">
      <c r="B520" s="85">
        <v>45323</v>
      </c>
      <c r="C520" s="47">
        <v>21697.449218999998</v>
      </c>
      <c r="D520" s="8">
        <f t="shared" ref="D520:D583" si="25">(C520-C519)/C519</f>
        <v>-1.3003033741392424E-3</v>
      </c>
      <c r="E520" s="41"/>
      <c r="F520" s="41"/>
      <c r="I520" s="85">
        <f t="shared" si="24"/>
        <v>45323</v>
      </c>
      <c r="J520" s="47">
        <v>11.23</v>
      </c>
      <c r="K520" s="8">
        <f t="shared" ref="K520:K583" si="26">(J520-J519)/J519</f>
        <v>2.4167806657546791E-2</v>
      </c>
      <c r="P520" s="86">
        <v>491</v>
      </c>
      <c r="Q520" s="86">
        <v>3.610655214164179E-4</v>
      </c>
      <c r="R520" s="86">
        <v>-3.601542793752386E-2</v>
      </c>
    </row>
    <row r="521" spans="2:18">
      <c r="B521" s="85">
        <v>45324</v>
      </c>
      <c r="C521" s="47">
        <v>21853.800781000002</v>
      </c>
      <c r="D521" s="8">
        <f t="shared" si="25"/>
        <v>7.2059881519662555E-3</v>
      </c>
      <c r="E521" s="41"/>
      <c r="F521" s="41"/>
      <c r="I521" s="85">
        <f t="shared" si="24"/>
        <v>45324</v>
      </c>
      <c r="J521" s="47">
        <v>11.215</v>
      </c>
      <c r="K521" s="8">
        <f t="shared" si="26"/>
        <v>-1.3357079252004067E-3</v>
      </c>
      <c r="P521" s="86">
        <v>492</v>
      </c>
      <c r="Q521" s="86">
        <v>-9.7073742438187789E-4</v>
      </c>
      <c r="R521" s="86">
        <v>-9.9035557465620115E-3</v>
      </c>
    </row>
    <row r="522" spans="2:18">
      <c r="B522" s="85">
        <v>45327</v>
      </c>
      <c r="C522" s="47">
        <v>21771.699218999998</v>
      </c>
      <c r="D522" s="8">
        <f t="shared" si="25"/>
        <v>-3.7568550579715958E-3</v>
      </c>
      <c r="E522" s="41"/>
      <c r="F522" s="41"/>
      <c r="I522" s="85">
        <f t="shared" si="24"/>
        <v>45327</v>
      </c>
      <c r="J522" s="47">
        <v>11.285</v>
      </c>
      <c r="K522" s="8">
        <f t="shared" si="26"/>
        <v>6.2416406598306091E-3</v>
      </c>
      <c r="P522" s="86">
        <v>493</v>
      </c>
      <c r="Q522" s="86">
        <v>-5.2291120098727027E-4</v>
      </c>
      <c r="R522" s="86">
        <v>3.9221240136783339E-2</v>
      </c>
    </row>
    <row r="523" spans="2:18">
      <c r="B523" s="85">
        <v>45328</v>
      </c>
      <c r="C523" s="47">
        <v>21929.400390999999</v>
      </c>
      <c r="D523" s="8">
        <f t="shared" si="25"/>
        <v>7.2434021071895172E-3</v>
      </c>
      <c r="E523" s="41"/>
      <c r="F523" s="41"/>
      <c r="I523" s="85">
        <f t="shared" si="24"/>
        <v>45328</v>
      </c>
      <c r="J523" s="47">
        <v>11.904999999999999</v>
      </c>
      <c r="K523" s="8">
        <f t="shared" si="26"/>
        <v>5.4940186087727001E-2</v>
      </c>
      <c r="P523" s="86">
        <v>494</v>
      </c>
      <c r="Q523" s="86">
        <v>-1.1947956933531911E-3</v>
      </c>
      <c r="R523" s="86">
        <v>-3.1404696262616306E-2</v>
      </c>
    </row>
    <row r="524" spans="2:18">
      <c r="B524" s="85">
        <v>45329</v>
      </c>
      <c r="C524" s="47">
        <v>21930.5</v>
      </c>
      <c r="D524" s="8">
        <f t="shared" si="25"/>
        <v>5.0143140277199318E-5</v>
      </c>
      <c r="E524" s="41"/>
      <c r="F524" s="41"/>
      <c r="I524" s="85">
        <f t="shared" si="24"/>
        <v>45329</v>
      </c>
      <c r="J524" s="47">
        <v>11.695</v>
      </c>
      <c r="K524" s="8">
        <f t="shared" si="26"/>
        <v>-1.7639647207055784E-2</v>
      </c>
      <c r="P524" s="86">
        <v>495</v>
      </c>
      <c r="Q524" s="86">
        <v>-1.7601488310747169E-3</v>
      </c>
      <c r="R524" s="86">
        <v>-1.7495868674395797E-2</v>
      </c>
    </row>
    <row r="525" spans="2:18">
      <c r="B525" s="85">
        <v>45330</v>
      </c>
      <c r="C525" s="47">
        <v>21717.949218999998</v>
      </c>
      <c r="D525" s="8">
        <f t="shared" si="25"/>
        <v>-9.6920170994734146E-3</v>
      </c>
      <c r="E525" s="41"/>
      <c r="F525" s="41"/>
      <c r="I525" s="85">
        <f t="shared" si="24"/>
        <v>45330</v>
      </c>
      <c r="J525" s="47">
        <v>11.734999999999999</v>
      </c>
      <c r="K525" s="8">
        <f t="shared" si="26"/>
        <v>3.420265070542894E-3</v>
      </c>
      <c r="P525" s="86">
        <v>496</v>
      </c>
      <c r="Q525" s="86">
        <v>5.0285185586741667E-4</v>
      </c>
      <c r="R525" s="86">
        <v>3.4303038371709609E-2</v>
      </c>
    </row>
    <row r="526" spans="2:18">
      <c r="B526" s="85">
        <v>45331</v>
      </c>
      <c r="C526" s="47">
        <v>21782.5</v>
      </c>
      <c r="D526" s="8">
        <f t="shared" si="25"/>
        <v>2.9722318782995096E-3</v>
      </c>
      <c r="E526" s="41"/>
      <c r="F526" s="41"/>
      <c r="I526" s="85">
        <f t="shared" si="24"/>
        <v>45331</v>
      </c>
      <c r="J526" s="47">
        <v>11.8</v>
      </c>
      <c r="K526" s="8">
        <f t="shared" si="26"/>
        <v>5.5389859394973399E-3</v>
      </c>
      <c r="P526" s="86">
        <v>497</v>
      </c>
      <c r="Q526" s="86">
        <v>-1.9787270046708541E-4</v>
      </c>
      <c r="R526" s="86">
        <v>3.2164151756719269E-3</v>
      </c>
    </row>
    <row r="527" spans="2:18">
      <c r="B527" s="85">
        <v>45334</v>
      </c>
      <c r="C527" s="47">
        <v>21616.050781000002</v>
      </c>
      <c r="D527" s="8">
        <f t="shared" si="25"/>
        <v>-7.6414194422127057E-3</v>
      </c>
      <c r="E527" s="41"/>
      <c r="F527" s="41"/>
      <c r="I527" s="85">
        <f t="shared" si="24"/>
        <v>45334</v>
      </c>
      <c r="J527" s="47">
        <v>11.86</v>
      </c>
      <c r="K527" s="8">
        <f t="shared" si="26"/>
        <v>5.0847457627117556E-3</v>
      </c>
      <c r="P527" s="86">
        <v>498</v>
      </c>
      <c r="Q527" s="86">
        <v>-2.1411590743856371E-3</v>
      </c>
      <c r="R527" s="86">
        <v>7.3002304415394383E-3</v>
      </c>
    </row>
    <row r="528" spans="2:18">
      <c r="B528" s="85">
        <v>45335</v>
      </c>
      <c r="C528" s="47">
        <v>21743.25</v>
      </c>
      <c r="D528" s="8">
        <f t="shared" si="25"/>
        <v>5.884480023141108E-3</v>
      </c>
      <c r="E528" s="41"/>
      <c r="F528" s="41"/>
      <c r="I528" s="85">
        <f t="shared" si="24"/>
        <v>45335</v>
      </c>
      <c r="J528" s="47">
        <v>11.44</v>
      </c>
      <c r="K528" s="8">
        <f t="shared" si="26"/>
        <v>-3.541315345699831E-2</v>
      </c>
      <c r="P528" s="86">
        <v>499</v>
      </c>
      <c r="Q528" s="86">
        <v>-3.5468989765502474E-4</v>
      </c>
      <c r="R528" s="86">
        <v>-2.915771386624565E-2</v>
      </c>
    </row>
    <row r="529" spans="2:18">
      <c r="B529" s="85">
        <v>45336</v>
      </c>
      <c r="C529" s="47">
        <v>21840.050781000002</v>
      </c>
      <c r="D529" s="8">
        <f t="shared" si="25"/>
        <v>4.4519922734642583E-3</v>
      </c>
      <c r="E529" s="41"/>
      <c r="F529" s="41"/>
      <c r="I529" s="85">
        <f t="shared" si="24"/>
        <v>45336</v>
      </c>
      <c r="J529" s="47">
        <v>11.345000000000001</v>
      </c>
      <c r="K529" s="8">
        <f t="shared" si="26"/>
        <v>-8.3041958041957051E-3</v>
      </c>
      <c r="P529" s="86">
        <v>500</v>
      </c>
      <c r="Q529" s="86">
        <v>-2.6240306824953648E-5</v>
      </c>
      <c r="R529" s="86">
        <v>-2.333206731767928E-2</v>
      </c>
    </row>
    <row r="530" spans="2:18">
      <c r="B530" s="85">
        <v>45337</v>
      </c>
      <c r="C530" s="47">
        <v>21910.75</v>
      </c>
      <c r="D530" s="8">
        <f t="shared" si="25"/>
        <v>3.23713620031982E-3</v>
      </c>
      <c r="E530" s="41"/>
      <c r="F530" s="41"/>
      <c r="I530" s="85">
        <f t="shared" si="24"/>
        <v>45337</v>
      </c>
      <c r="J530" s="47">
        <v>11.315</v>
      </c>
      <c r="K530" s="8">
        <f t="shared" si="26"/>
        <v>-2.6443367122081212E-3</v>
      </c>
      <c r="P530" s="86">
        <v>501</v>
      </c>
      <c r="Q530" s="86">
        <v>-3.8204540887647035E-4</v>
      </c>
      <c r="R530" s="86">
        <v>-3.4365247009896072E-2</v>
      </c>
    </row>
    <row r="531" spans="2:18">
      <c r="B531" s="85">
        <v>45338</v>
      </c>
      <c r="C531" s="47">
        <v>22040.699218999998</v>
      </c>
      <c r="D531" s="8">
        <f t="shared" si="25"/>
        <v>5.9308430336706078E-3</v>
      </c>
      <c r="E531" s="41"/>
      <c r="F531" s="41"/>
      <c r="I531" s="85">
        <f t="shared" si="24"/>
        <v>45338</v>
      </c>
      <c r="J531" s="47">
        <v>10.965</v>
      </c>
      <c r="K531" s="8">
        <f t="shared" si="26"/>
        <v>-3.0932390631904522E-2</v>
      </c>
      <c r="P531" s="86">
        <v>502</v>
      </c>
      <c r="Q531" s="86">
        <v>1.3229535310727526E-3</v>
      </c>
      <c r="R531" s="86">
        <v>8.7503600933630313E-2</v>
      </c>
    </row>
    <row r="532" spans="2:18">
      <c r="B532" s="85">
        <v>45341</v>
      </c>
      <c r="C532" s="47">
        <v>22122.25</v>
      </c>
      <c r="D532" s="8">
        <f t="shared" si="25"/>
        <v>3.7000087968943186E-3</v>
      </c>
      <c r="E532" s="41"/>
      <c r="F532" s="41"/>
      <c r="I532" s="85">
        <f t="shared" si="24"/>
        <v>45341</v>
      </c>
      <c r="J532" s="47">
        <v>11.465</v>
      </c>
      <c r="K532" s="8">
        <f t="shared" si="26"/>
        <v>4.5599635202918376E-2</v>
      </c>
      <c r="P532" s="86">
        <v>503</v>
      </c>
      <c r="Q532" s="86">
        <v>9.5871369862426416E-4</v>
      </c>
      <c r="R532" s="86">
        <v>3.3820161355046938E-2</v>
      </c>
    </row>
    <row r="533" spans="2:18">
      <c r="B533" s="85">
        <v>45342</v>
      </c>
      <c r="C533" s="47">
        <v>22196.949218999998</v>
      </c>
      <c r="D533" s="8">
        <f t="shared" si="25"/>
        <v>3.3766555843098359E-3</v>
      </c>
      <c r="E533" s="41"/>
      <c r="F533" s="41"/>
      <c r="I533" s="85">
        <f t="shared" si="24"/>
        <v>45342</v>
      </c>
      <c r="J533" s="47">
        <v>11.904999999999999</v>
      </c>
      <c r="K533" s="8">
        <f t="shared" si="26"/>
        <v>3.8377671173135584E-2</v>
      </c>
      <c r="P533" s="86">
        <v>504</v>
      </c>
      <c r="Q533" s="86">
        <v>-1.1017035052714259E-3</v>
      </c>
      <c r="R533" s="86">
        <v>1.5166412646074429E-3</v>
      </c>
    </row>
    <row r="534" spans="2:18">
      <c r="B534" s="85">
        <v>45343</v>
      </c>
      <c r="C534" s="47">
        <v>22055.050781000002</v>
      </c>
      <c r="D534" s="8">
        <f t="shared" si="25"/>
        <v>-6.3927000327835704E-3</v>
      </c>
      <c r="E534" s="41"/>
      <c r="F534" s="41"/>
      <c r="I534" s="85">
        <f t="shared" si="24"/>
        <v>45343</v>
      </c>
      <c r="J534" s="47">
        <v>11.255000000000001</v>
      </c>
      <c r="K534" s="8">
        <f t="shared" si="26"/>
        <v>-5.4598908021839448E-2</v>
      </c>
      <c r="P534" s="86">
        <v>505</v>
      </c>
      <c r="Q534" s="86">
        <v>-4.1287722128025024E-3</v>
      </c>
      <c r="R534" s="86">
        <v>1.8230804564523775E-2</v>
      </c>
    </row>
    <row r="535" spans="2:18">
      <c r="B535" s="85">
        <v>45344</v>
      </c>
      <c r="C535" s="47">
        <v>22217.449218999998</v>
      </c>
      <c r="D535" s="8">
        <f t="shared" si="25"/>
        <v>7.3633218808954017E-3</v>
      </c>
      <c r="E535" s="41"/>
      <c r="F535" s="41"/>
      <c r="I535" s="85">
        <f t="shared" si="24"/>
        <v>45344</v>
      </c>
      <c r="J535" s="47">
        <v>11.36</v>
      </c>
      <c r="K535" s="8">
        <f t="shared" si="26"/>
        <v>9.3291870279874397E-3</v>
      </c>
      <c r="P535" s="86">
        <v>506</v>
      </c>
      <c r="Q535" s="86">
        <v>-1.4621684275342101E-3</v>
      </c>
      <c r="R535" s="86">
        <v>-1.8098152125475197E-3</v>
      </c>
    </row>
    <row r="536" spans="2:18">
      <c r="B536" s="85">
        <v>45345</v>
      </c>
      <c r="C536" s="47">
        <v>22212.699218999998</v>
      </c>
      <c r="D536" s="8">
        <f t="shared" si="25"/>
        <v>-2.1379592018771796E-4</v>
      </c>
      <c r="E536" s="41"/>
      <c r="F536" s="41"/>
      <c r="I536" s="85">
        <f t="shared" si="24"/>
        <v>45345</v>
      </c>
      <c r="J536" s="47">
        <v>11.695</v>
      </c>
      <c r="K536" s="8">
        <f t="shared" si="26"/>
        <v>2.9489436619718385E-2</v>
      </c>
      <c r="P536" s="86">
        <v>507</v>
      </c>
      <c r="Q536" s="86">
        <v>6.5423548632057417E-4</v>
      </c>
      <c r="R536" s="86">
        <v>1.8078080097811379E-3</v>
      </c>
    </row>
    <row r="537" spans="2:18">
      <c r="B537" s="85">
        <v>45348</v>
      </c>
      <c r="C537" s="47">
        <v>22122.050781000002</v>
      </c>
      <c r="D537" s="8">
        <f t="shared" si="25"/>
        <v>-4.0809285312997396E-3</v>
      </c>
      <c r="E537" s="41"/>
      <c r="F537" s="41"/>
      <c r="I537" s="85">
        <f t="shared" si="24"/>
        <v>45348</v>
      </c>
      <c r="J537" s="47">
        <v>11.635</v>
      </c>
      <c r="K537" s="8">
        <f t="shared" si="26"/>
        <v>-5.1303976058144933E-3</v>
      </c>
      <c r="P537" s="86">
        <v>508</v>
      </c>
      <c r="Q537" s="86">
        <v>-3.5968470517837403E-3</v>
      </c>
      <c r="R537" s="86">
        <v>-1.359513002558008E-2</v>
      </c>
    </row>
    <row r="538" spans="2:18">
      <c r="B538" s="85">
        <v>45349</v>
      </c>
      <c r="C538" s="47">
        <v>22198.349609000001</v>
      </c>
      <c r="D538" s="8">
        <f t="shared" si="25"/>
        <v>3.4489943430348661E-3</v>
      </c>
      <c r="E538" s="41"/>
      <c r="F538" s="41"/>
      <c r="I538" s="85">
        <f t="shared" si="24"/>
        <v>45349</v>
      </c>
      <c r="J538" s="47">
        <v>11.675000000000001</v>
      </c>
      <c r="K538" s="8">
        <f t="shared" si="26"/>
        <v>3.4379028792437408E-3</v>
      </c>
      <c r="P538" s="86">
        <v>509</v>
      </c>
      <c r="Q538" s="86">
        <v>1.1042627525007266E-3</v>
      </c>
      <c r="R538" s="86">
        <v>1.5555462362034825E-2</v>
      </c>
    </row>
    <row r="539" spans="2:18">
      <c r="B539" s="85">
        <v>45350</v>
      </c>
      <c r="C539" s="47">
        <v>21951.150390999999</v>
      </c>
      <c r="D539" s="8">
        <f t="shared" si="25"/>
        <v>-1.1135927776350463E-2</v>
      </c>
      <c r="E539" s="41"/>
      <c r="F539" s="41"/>
      <c r="I539" s="85">
        <f t="shared" si="24"/>
        <v>45350</v>
      </c>
      <c r="J539" s="47">
        <v>11.75</v>
      </c>
      <c r="K539" s="8">
        <f t="shared" si="26"/>
        <v>6.4239828693789533E-3</v>
      </c>
      <c r="P539" s="86">
        <v>510</v>
      </c>
      <c r="Q539" s="86">
        <v>-1.401240022817832E-3</v>
      </c>
      <c r="R539" s="86">
        <v>-4.3341143401481892E-3</v>
      </c>
    </row>
    <row r="540" spans="2:18">
      <c r="B540" s="85">
        <v>45351</v>
      </c>
      <c r="C540" s="47">
        <v>21982.800781000002</v>
      </c>
      <c r="D540" s="8">
        <f t="shared" si="25"/>
        <v>1.4418556401936556E-3</v>
      </c>
      <c r="E540" s="41"/>
      <c r="F540" s="41"/>
      <c r="I540" s="85">
        <f t="shared" si="24"/>
        <v>45351</v>
      </c>
      <c r="J540" s="47">
        <v>11.83</v>
      </c>
      <c r="K540" s="8">
        <f t="shared" si="26"/>
        <v>6.8085106382978784E-3</v>
      </c>
      <c r="P540" s="86">
        <v>511</v>
      </c>
      <c r="Q540" s="86">
        <v>2.4368999598531962E-3</v>
      </c>
      <c r="R540" s="86">
        <v>1.2713818695658336E-3</v>
      </c>
    </row>
    <row r="541" spans="2:18">
      <c r="B541" s="85">
        <v>45352</v>
      </c>
      <c r="C541" s="47">
        <v>22338.75</v>
      </c>
      <c r="D541" s="8">
        <f t="shared" si="25"/>
        <v>1.61921687116252E-2</v>
      </c>
      <c r="E541" s="41"/>
      <c r="F541" s="41"/>
      <c r="I541" s="85">
        <f t="shared" si="24"/>
        <v>45352</v>
      </c>
      <c r="J541" s="47">
        <v>11.96</v>
      </c>
      <c r="K541" s="8">
        <f t="shared" si="26"/>
        <v>1.0989010989011056E-2</v>
      </c>
      <c r="P541" s="86">
        <v>512</v>
      </c>
      <c r="Q541" s="86">
        <v>-2.2766033231875846E-3</v>
      </c>
      <c r="R541" s="86">
        <v>1.4555852607902294E-3</v>
      </c>
    </row>
    <row r="542" spans="2:18">
      <c r="B542" s="85">
        <v>45355</v>
      </c>
      <c r="C542" s="47">
        <v>22405.599609000001</v>
      </c>
      <c r="D542" s="8">
        <f t="shared" si="25"/>
        <v>2.9925402719490025E-3</v>
      </c>
      <c r="E542" s="41"/>
      <c r="F542" s="41"/>
      <c r="I542" s="85">
        <f t="shared" si="24"/>
        <v>45355</v>
      </c>
      <c r="J542" s="47">
        <v>11.475</v>
      </c>
      <c r="K542" s="8">
        <f t="shared" si="26"/>
        <v>-4.0551839464883041E-2</v>
      </c>
      <c r="P542" s="86">
        <v>513</v>
      </c>
      <c r="Q542" s="86">
        <v>9.9125966475041571E-4</v>
      </c>
      <c r="R542" s="86">
        <v>-0.10000522844042832</v>
      </c>
    </row>
    <row r="543" spans="2:18">
      <c r="B543" s="85">
        <v>45356</v>
      </c>
      <c r="C543" s="47">
        <v>22356.300781000002</v>
      </c>
      <c r="D543" s="8">
        <f t="shared" si="25"/>
        <v>-2.2002905014957257E-3</v>
      </c>
      <c r="E543" s="41"/>
      <c r="F543" s="41"/>
      <c r="I543" s="85">
        <f t="shared" si="24"/>
        <v>45356</v>
      </c>
      <c r="J543" s="47">
        <v>11.494999999999999</v>
      </c>
      <c r="K543" s="8">
        <f t="shared" si="26"/>
        <v>1.7429193899781764E-3</v>
      </c>
      <c r="P543" s="86">
        <v>514</v>
      </c>
      <c r="Q543" s="86">
        <v>-8.2373889266553748E-4</v>
      </c>
      <c r="R543" s="86">
        <v>2.4991545550212328E-2</v>
      </c>
    </row>
    <row r="544" spans="2:18">
      <c r="B544" s="85">
        <v>45357</v>
      </c>
      <c r="C544" s="47">
        <v>22474.050781000002</v>
      </c>
      <c r="D544" s="8">
        <f t="shared" si="25"/>
        <v>5.2669715420930662E-3</v>
      </c>
      <c r="E544" s="41"/>
      <c r="F544" s="41"/>
      <c r="I544" s="85">
        <f t="shared" si="24"/>
        <v>45357</v>
      </c>
      <c r="J544" s="47">
        <v>11.525</v>
      </c>
      <c r="K544" s="8">
        <f t="shared" si="26"/>
        <v>2.6098303610266322E-3</v>
      </c>
      <c r="P544" s="86">
        <v>515</v>
      </c>
      <c r="Q544" s="86">
        <v>6.110599042613642E-4</v>
      </c>
      <c r="R544" s="86">
        <v>-1.9467678294617708E-3</v>
      </c>
    </row>
    <row r="545" spans="2:18">
      <c r="B545" s="85">
        <v>45358</v>
      </c>
      <c r="C545" s="47">
        <v>22493.550781000002</v>
      </c>
      <c r="D545" s="8">
        <f t="shared" si="25"/>
        <v>8.6766734622161119E-4</v>
      </c>
      <c r="E545" s="41"/>
      <c r="F545" s="41"/>
      <c r="I545" s="85">
        <f t="shared" si="24"/>
        <v>45358</v>
      </c>
      <c r="J545" s="47">
        <v>11.61</v>
      </c>
      <c r="K545" s="8">
        <f t="shared" si="26"/>
        <v>7.3752711496745402E-3</v>
      </c>
      <c r="P545" s="86">
        <v>516</v>
      </c>
      <c r="Q545" s="86">
        <v>-1.2380977692375865E-3</v>
      </c>
      <c r="R545" s="86">
        <v>7.4797384290681956E-3</v>
      </c>
    </row>
    <row r="546" spans="2:18">
      <c r="B546" s="85">
        <v>45362</v>
      </c>
      <c r="C546" s="47">
        <v>22332.650390999999</v>
      </c>
      <c r="D546" s="8">
        <f t="shared" si="25"/>
        <v>-7.1531787740650044E-3</v>
      </c>
      <c r="E546" s="41"/>
      <c r="F546" s="41"/>
      <c r="I546" s="85">
        <f t="shared" si="24"/>
        <v>45362</v>
      </c>
      <c r="J546" s="47">
        <v>11.7</v>
      </c>
      <c r="K546" s="8">
        <f t="shared" si="26"/>
        <v>7.7519379844961118E-3</v>
      </c>
      <c r="P546" s="86">
        <v>517</v>
      </c>
      <c r="Q546" s="86">
        <v>6.1737070348307757E-4</v>
      </c>
      <c r="R546" s="86">
        <v>5.4322815384243925E-2</v>
      </c>
    </row>
    <row r="547" spans="2:18">
      <c r="B547" s="85">
        <v>45363</v>
      </c>
      <c r="C547" s="47">
        <v>22335.699218999998</v>
      </c>
      <c r="D547" s="8">
        <f t="shared" si="25"/>
        <v>1.3651886124665786E-4</v>
      </c>
      <c r="E547" s="41"/>
      <c r="F547" s="41"/>
      <c r="I547" s="85">
        <f t="shared" si="24"/>
        <v>45363</v>
      </c>
      <c r="J547" s="47">
        <v>11.535</v>
      </c>
      <c r="K547" s="8">
        <f t="shared" si="26"/>
        <v>-1.410256410256403E-2</v>
      </c>
      <c r="P547" s="86">
        <v>518</v>
      </c>
      <c r="Q547" s="86">
        <v>-5.9595231513614566E-4</v>
      </c>
      <c r="R547" s="86">
        <v>-1.7043694891919637E-2</v>
      </c>
    </row>
    <row r="548" spans="2:18">
      <c r="B548" s="85">
        <v>45364</v>
      </c>
      <c r="C548" s="47">
        <v>21997.699218999998</v>
      </c>
      <c r="D548" s="8">
        <f t="shared" si="25"/>
        <v>-1.5132725270247114E-2</v>
      </c>
      <c r="E548" s="41"/>
      <c r="F548" s="41"/>
      <c r="I548" s="85">
        <f t="shared" si="24"/>
        <v>45364</v>
      </c>
      <c r="J548" s="47">
        <v>11.23</v>
      </c>
      <c r="K548" s="8">
        <f t="shared" si="26"/>
        <v>-2.6441265713047224E-2</v>
      </c>
      <c r="P548" s="86">
        <v>519</v>
      </c>
      <c r="Q548" s="86">
        <v>-2.2392112780537914E-3</v>
      </c>
      <c r="R548" s="86">
        <v>5.6594763485966855E-3</v>
      </c>
    </row>
    <row r="549" spans="2:18">
      <c r="B549" s="85">
        <v>45365</v>
      </c>
      <c r="C549" s="47">
        <v>22146.650390999999</v>
      </c>
      <c r="D549" s="8">
        <f t="shared" si="25"/>
        <v>6.7712159584102259E-3</v>
      </c>
      <c r="E549" s="41"/>
      <c r="F549" s="41"/>
      <c r="I549" s="85">
        <f t="shared" si="24"/>
        <v>45365</v>
      </c>
      <c r="J549" s="47">
        <v>11.38</v>
      </c>
      <c r="K549" s="8">
        <f t="shared" si="26"/>
        <v>1.3357079252003592E-2</v>
      </c>
      <c r="P549" s="86">
        <v>520</v>
      </c>
      <c r="Q549" s="86">
        <v>-1.0306897191176949E-4</v>
      </c>
      <c r="R549" s="86">
        <v>5.6420549114091093E-3</v>
      </c>
    </row>
    <row r="550" spans="2:18">
      <c r="B550" s="85">
        <v>45366</v>
      </c>
      <c r="C550" s="47">
        <v>22023.349609000001</v>
      </c>
      <c r="D550" s="8">
        <f t="shared" si="25"/>
        <v>-5.567468661089519E-3</v>
      </c>
      <c r="E550" s="41"/>
      <c r="F550" s="41"/>
      <c r="I550" s="85">
        <f t="shared" si="24"/>
        <v>45366</v>
      </c>
      <c r="J550" s="47">
        <v>11.53</v>
      </c>
      <c r="K550" s="8">
        <f t="shared" si="26"/>
        <v>1.3181019332161561E-2</v>
      </c>
      <c r="P550" s="86">
        <v>521</v>
      </c>
      <c r="Q550" s="86">
        <v>-1.8933267004338852E-3</v>
      </c>
      <c r="R550" s="86">
        <v>6.9780724631456409E-3</v>
      </c>
    </row>
    <row r="551" spans="2:18">
      <c r="B551" s="85">
        <v>45369</v>
      </c>
      <c r="C551" s="47">
        <v>22055.699218999998</v>
      </c>
      <c r="D551" s="8">
        <f t="shared" si="25"/>
        <v>1.4688778307718269E-3</v>
      </c>
      <c r="E551" s="41"/>
      <c r="F551" s="41"/>
      <c r="I551" s="85">
        <f t="shared" si="24"/>
        <v>45369</v>
      </c>
      <c r="J551" s="47">
        <v>11.695</v>
      </c>
      <c r="K551" s="8">
        <f t="shared" si="26"/>
        <v>1.4310494362532605E-2</v>
      </c>
      <c r="P551" s="86">
        <v>522</v>
      </c>
      <c r="Q551" s="86">
        <v>3.8815450917251907E-4</v>
      </c>
      <c r="R551" s="86">
        <v>-3.5801307966170828E-2</v>
      </c>
    </row>
    <row r="552" spans="2:18">
      <c r="B552" s="85">
        <v>45370</v>
      </c>
      <c r="C552" s="47">
        <v>21817.449218999998</v>
      </c>
      <c r="D552" s="8">
        <f t="shared" si="25"/>
        <v>-1.0802196640166288E-2</v>
      </c>
      <c r="E552" s="41"/>
      <c r="F552" s="41"/>
      <c r="I552" s="85">
        <f t="shared" si="24"/>
        <v>45370</v>
      </c>
      <c r="J552" s="47">
        <v>11.35</v>
      </c>
      <c r="K552" s="8">
        <f t="shared" si="26"/>
        <v>-2.9499786233433144E-2</v>
      </c>
      <c r="P552" s="86">
        <v>523</v>
      </c>
      <c r="Q552" s="86">
        <v>1.4652962557416935E-4</v>
      </c>
      <c r="R552" s="86">
        <v>-8.4507254297698751E-3</v>
      </c>
    </row>
    <row r="553" spans="2:18">
      <c r="B553" s="85">
        <v>45371</v>
      </c>
      <c r="C553" s="47">
        <v>21839.099609000001</v>
      </c>
      <c r="D553" s="8">
        <f t="shared" si="25"/>
        <v>9.9234286202201888E-4</v>
      </c>
      <c r="E553" s="41"/>
      <c r="F553" s="41"/>
      <c r="I553" s="85">
        <f t="shared" si="24"/>
        <v>45371</v>
      </c>
      <c r="J553" s="47">
        <v>11.44</v>
      </c>
      <c r="K553" s="8">
        <f t="shared" si="26"/>
        <v>7.9295154185021911E-3</v>
      </c>
      <c r="P553" s="86">
        <v>524</v>
      </c>
      <c r="Q553" s="86">
        <v>-5.8386233097914675E-5</v>
      </c>
      <c r="R553" s="86">
        <v>-2.5859504791102064E-3</v>
      </c>
    </row>
    <row r="554" spans="2:18">
      <c r="B554" s="85">
        <v>45372</v>
      </c>
      <c r="C554" s="47">
        <v>22011.949218999998</v>
      </c>
      <c r="D554" s="8">
        <f t="shared" si="25"/>
        <v>7.9146857285620556E-3</v>
      </c>
      <c r="E554" s="41"/>
      <c r="F554" s="41"/>
      <c r="I554" s="85">
        <f t="shared" si="24"/>
        <v>45372</v>
      </c>
      <c r="J554" s="47">
        <v>11.945</v>
      </c>
      <c r="K554" s="8">
        <f t="shared" si="26"/>
        <v>4.4143356643356717E-2</v>
      </c>
      <c r="P554" s="86">
        <v>525</v>
      </c>
      <c r="Q554" s="86">
        <v>3.959747903756124E-4</v>
      </c>
      <c r="R554" s="86">
        <v>-3.1328365422280131E-2</v>
      </c>
    </row>
    <row r="555" spans="2:18">
      <c r="B555" s="85">
        <v>45373</v>
      </c>
      <c r="C555" s="47">
        <v>22096.75</v>
      </c>
      <c r="D555" s="8">
        <f t="shared" si="25"/>
        <v>3.8524884896065661E-3</v>
      </c>
      <c r="E555" s="41"/>
      <c r="F555" s="41"/>
      <c r="I555" s="85">
        <f t="shared" si="24"/>
        <v>45373</v>
      </c>
      <c r="J555" s="47">
        <v>11.824999999999999</v>
      </c>
      <c r="K555" s="8">
        <f t="shared" si="26"/>
        <v>-1.0046044370029384E-2</v>
      </c>
      <c r="P555" s="86">
        <v>526</v>
      </c>
      <c r="Q555" s="86">
        <v>1.9688806143020629E-5</v>
      </c>
      <c r="R555" s="86">
        <v>4.5579946396775359E-2</v>
      </c>
    </row>
    <row r="556" spans="2:18">
      <c r="B556" s="85">
        <v>45377</v>
      </c>
      <c r="C556" s="47">
        <v>22004.699218999998</v>
      </c>
      <c r="D556" s="8">
        <f t="shared" si="25"/>
        <v>-4.1658063289851102E-3</v>
      </c>
      <c r="E556" s="41"/>
      <c r="F556" s="41"/>
      <c r="I556" s="85">
        <f t="shared" si="24"/>
        <v>45377</v>
      </c>
      <c r="J556" s="47">
        <v>11.79</v>
      </c>
      <c r="K556" s="8">
        <f t="shared" si="26"/>
        <v>-2.9598308668076232E-3</v>
      </c>
      <c r="P556" s="86">
        <v>527</v>
      </c>
      <c r="Q556" s="86">
        <v>-3.4852799793576891E-5</v>
      </c>
      <c r="R556" s="86">
        <v>3.8412523972929158E-2</v>
      </c>
    </row>
    <row r="557" spans="2:18">
      <c r="B557" s="85">
        <v>45378</v>
      </c>
      <c r="C557" s="47">
        <v>22123.650390999999</v>
      </c>
      <c r="D557" s="8">
        <f t="shared" si="25"/>
        <v>5.4057167887708434E-3</v>
      </c>
      <c r="E557" s="41"/>
      <c r="F557" s="41"/>
      <c r="I557" s="85">
        <f t="shared" si="24"/>
        <v>45378</v>
      </c>
      <c r="J557" s="47">
        <v>11.56</v>
      </c>
      <c r="K557" s="8">
        <f t="shared" si="26"/>
        <v>-1.9508057675996494E-2</v>
      </c>
      <c r="P557" s="86">
        <v>528</v>
      </c>
      <c r="Q557" s="86">
        <v>-1.6826989432203389E-3</v>
      </c>
      <c r="R557" s="86">
        <v>-5.291620907861911E-2</v>
      </c>
    </row>
    <row r="558" spans="2:18">
      <c r="B558" s="85">
        <v>45379</v>
      </c>
      <c r="C558" s="47">
        <v>22326.900390999999</v>
      </c>
      <c r="D558" s="8">
        <f t="shared" si="25"/>
        <v>9.1870010783881764E-3</v>
      </c>
      <c r="E558" s="41"/>
      <c r="F558" s="41"/>
      <c r="I558" s="85">
        <f t="shared" si="24"/>
        <v>45379</v>
      </c>
      <c r="J558" s="47">
        <v>12.21</v>
      </c>
      <c r="K558" s="8">
        <f t="shared" si="26"/>
        <v>5.6228373702422174E-2</v>
      </c>
      <c r="P558" s="86">
        <v>529</v>
      </c>
      <c r="Q558" s="86">
        <v>6.3759817235278435E-4</v>
      </c>
      <c r="R558" s="86">
        <v>8.6915888556346552E-3</v>
      </c>
    </row>
    <row r="559" spans="2:18">
      <c r="B559" s="85">
        <v>45383</v>
      </c>
      <c r="C559" s="47">
        <v>22462</v>
      </c>
      <c r="D559" s="8">
        <f t="shared" si="25"/>
        <v>6.0509791611942513E-3</v>
      </c>
      <c r="E559" s="41"/>
      <c r="F559" s="41"/>
      <c r="I559" s="85">
        <f t="shared" si="24"/>
        <v>45383</v>
      </c>
      <c r="J559" s="47">
        <v>12.38</v>
      </c>
      <c r="K559" s="8">
        <f t="shared" si="26"/>
        <v>1.3923013923013917E-2</v>
      </c>
      <c r="P559" s="86">
        <v>530</v>
      </c>
      <c r="Q559" s="86">
        <v>-6.404722384487744E-4</v>
      </c>
      <c r="R559" s="86">
        <v>3.0129908858167159E-2</v>
      </c>
    </row>
    <row r="560" spans="2:18">
      <c r="B560" s="85">
        <v>45384</v>
      </c>
      <c r="C560" s="47">
        <v>22453.300781000002</v>
      </c>
      <c r="D560" s="8">
        <f t="shared" si="25"/>
        <v>-3.8728603864296435E-4</v>
      </c>
      <c r="E560" s="41"/>
      <c r="F560" s="41"/>
      <c r="I560" s="85">
        <f t="shared" si="24"/>
        <v>45384</v>
      </c>
      <c r="J560" s="47">
        <v>12.34</v>
      </c>
      <c r="K560" s="8">
        <f t="shared" si="26"/>
        <v>-3.2310177705978126E-3</v>
      </c>
      <c r="P560" s="86">
        <v>531</v>
      </c>
      <c r="Q560" s="86">
        <v>-1.2927608651613668E-3</v>
      </c>
      <c r="R560" s="86">
        <v>-3.8376367406531267E-3</v>
      </c>
    </row>
    <row r="561" spans="2:18">
      <c r="B561" s="85">
        <v>45385</v>
      </c>
      <c r="C561" s="47">
        <v>22434.650390999999</v>
      </c>
      <c r="D561" s="8">
        <f t="shared" si="25"/>
        <v>-8.3063021254249126E-4</v>
      </c>
      <c r="E561" s="41"/>
      <c r="F561" s="41"/>
      <c r="I561" s="85">
        <f t="shared" si="24"/>
        <v>45385</v>
      </c>
      <c r="J561" s="47">
        <v>12.085000000000001</v>
      </c>
      <c r="K561" s="8">
        <f t="shared" si="26"/>
        <v>-2.0664505672609319E-2</v>
      </c>
      <c r="P561" s="86">
        <v>532</v>
      </c>
      <c r="Q561" s="86">
        <v>-2.2651059038357479E-5</v>
      </c>
      <c r="R561" s="86">
        <v>3.4605539382820982E-3</v>
      </c>
    </row>
    <row r="562" spans="2:18">
      <c r="B562" s="85">
        <v>45386</v>
      </c>
      <c r="C562" s="47">
        <v>22514.650390999999</v>
      </c>
      <c r="D562" s="8">
        <f t="shared" si="25"/>
        <v>3.5659124883039503E-3</v>
      </c>
      <c r="E562" s="41"/>
      <c r="F562" s="41"/>
      <c r="I562" s="85">
        <f t="shared" si="24"/>
        <v>45386</v>
      </c>
      <c r="J562" s="47">
        <v>12.065</v>
      </c>
      <c r="K562" s="8">
        <f t="shared" si="26"/>
        <v>-1.6549441456351964E-3</v>
      </c>
      <c r="P562" s="86">
        <v>533</v>
      </c>
      <c r="Q562" s="86">
        <v>-2.4827629239966868E-3</v>
      </c>
      <c r="R562" s="86">
        <v>8.9067457933756401E-3</v>
      </c>
    </row>
    <row r="563" spans="2:18">
      <c r="B563" s="85">
        <v>45387</v>
      </c>
      <c r="C563" s="47">
        <v>22513.699218999998</v>
      </c>
      <c r="D563" s="8">
        <f t="shared" si="25"/>
        <v>-4.2246803014146424E-5</v>
      </c>
      <c r="E563" s="41"/>
      <c r="F563" s="41"/>
      <c r="I563" s="85">
        <f t="shared" si="24"/>
        <v>45387</v>
      </c>
      <c r="J563" s="47">
        <v>11.635</v>
      </c>
      <c r="K563" s="8">
        <f t="shared" si="26"/>
        <v>-3.5640281806879379E-2</v>
      </c>
      <c r="P563" s="86">
        <v>534</v>
      </c>
      <c r="Q563" s="86">
        <v>-3.6120519714470699E-4</v>
      </c>
      <c r="R563" s="86">
        <v>7.169715835442585E-3</v>
      </c>
    </row>
    <row r="564" spans="2:18">
      <c r="B564" s="85">
        <v>45390</v>
      </c>
      <c r="C564" s="47">
        <v>22666.300781000002</v>
      </c>
      <c r="D564" s="8">
        <f t="shared" si="25"/>
        <v>6.7781647305307493E-3</v>
      </c>
      <c r="E564" s="41"/>
      <c r="F564" s="41"/>
      <c r="I564" s="85">
        <f t="shared" si="24"/>
        <v>45390</v>
      </c>
      <c r="J564" s="47">
        <v>11.84</v>
      </c>
      <c r="K564" s="8">
        <f t="shared" si="26"/>
        <v>1.761925225612377E-2</v>
      </c>
      <c r="P564" s="86">
        <v>535</v>
      </c>
      <c r="Q564" s="86">
        <v>2.1268039880841809E-3</v>
      </c>
      <c r="R564" s="86">
        <v>8.8622070009268753E-3</v>
      </c>
    </row>
    <row r="565" spans="2:18">
      <c r="B565" s="85">
        <v>45391</v>
      </c>
      <c r="C565" s="47">
        <v>22642.75</v>
      </c>
      <c r="D565" s="8">
        <f t="shared" si="25"/>
        <v>-1.0390218160231575E-3</v>
      </c>
      <c r="E565" s="41"/>
      <c r="F565" s="41"/>
      <c r="I565" s="85">
        <f t="shared" si="24"/>
        <v>45391</v>
      </c>
      <c r="J565" s="47">
        <v>12.06</v>
      </c>
      <c r="K565" s="8">
        <f t="shared" si="26"/>
        <v>1.8581081081081134E-2</v>
      </c>
      <c r="P565" s="86">
        <v>536</v>
      </c>
      <c r="Q565" s="86">
        <v>-9.9643453436840004E-5</v>
      </c>
      <c r="R565" s="86">
        <v>-4.0452196011446201E-2</v>
      </c>
    </row>
    <row r="566" spans="2:18">
      <c r="B566" s="85">
        <v>45392</v>
      </c>
      <c r="C566" s="47">
        <v>22753.800781000002</v>
      </c>
      <c r="D566" s="8">
        <f t="shared" si="25"/>
        <v>4.9044741031898393E-3</v>
      </c>
      <c r="E566" s="41"/>
      <c r="F566" s="41"/>
      <c r="I566" s="85">
        <f t="shared" si="24"/>
        <v>45392</v>
      </c>
      <c r="J566" s="47">
        <v>12.005000000000001</v>
      </c>
      <c r="K566" s="8">
        <f t="shared" si="26"/>
        <v>-4.5605306799336416E-3</v>
      </c>
      <c r="P566" s="86">
        <v>537</v>
      </c>
      <c r="Q566" s="86">
        <v>-9.7554422917649837E-4</v>
      </c>
      <c r="R566" s="86">
        <v>2.7184636191546745E-3</v>
      </c>
    </row>
    <row r="567" spans="2:18">
      <c r="B567" s="85">
        <v>45394</v>
      </c>
      <c r="C567" s="47">
        <v>22519.400390999999</v>
      </c>
      <c r="D567" s="8">
        <f t="shared" si="25"/>
        <v>-1.0301592786895311E-2</v>
      </c>
      <c r="E567" s="41"/>
      <c r="F567" s="41"/>
      <c r="I567" s="85">
        <f t="shared" si="24"/>
        <v>45394</v>
      </c>
      <c r="J567" s="47">
        <v>11.725</v>
      </c>
      <c r="K567" s="8">
        <f t="shared" si="26"/>
        <v>-2.3323615160349948E-2</v>
      </c>
      <c r="P567" s="86">
        <v>538</v>
      </c>
      <c r="Q567" s="86">
        <v>2.8399626077710652E-4</v>
      </c>
      <c r="R567" s="86">
        <v>2.3258341002495258E-3</v>
      </c>
    </row>
    <row r="568" spans="2:18">
      <c r="B568" s="85">
        <v>45397</v>
      </c>
      <c r="C568" s="47">
        <v>22272.5</v>
      </c>
      <c r="D568" s="8">
        <f t="shared" si="25"/>
        <v>-1.0963897204770794E-2</v>
      </c>
      <c r="E568" s="41"/>
      <c r="F568" s="41"/>
      <c r="I568" s="85">
        <f t="shared" si="24"/>
        <v>45397</v>
      </c>
      <c r="J568" s="47">
        <v>12.154999999999999</v>
      </c>
      <c r="K568" s="8">
        <f t="shared" si="26"/>
        <v>3.6673773987206802E-2</v>
      </c>
      <c r="P568" s="86">
        <v>539</v>
      </c>
      <c r="Q568" s="86">
        <v>-4.5805641260943098E-4</v>
      </c>
      <c r="R568" s="86">
        <v>7.8333275622839704E-3</v>
      </c>
    </row>
    <row r="569" spans="2:18">
      <c r="B569" s="85">
        <v>45398</v>
      </c>
      <c r="C569" s="47">
        <v>22147.900390999999</v>
      </c>
      <c r="D569" s="8">
        <f t="shared" si="25"/>
        <v>-5.5943252441351798E-3</v>
      </c>
      <c r="E569" s="41"/>
      <c r="F569" s="41"/>
      <c r="I569" s="85">
        <f t="shared" si="24"/>
        <v>45398</v>
      </c>
      <c r="J569" s="47">
        <v>11.895</v>
      </c>
      <c r="K569" s="8">
        <f t="shared" si="26"/>
        <v>-2.1390374331550787E-2</v>
      </c>
      <c r="P569" s="86">
        <v>540</v>
      </c>
      <c r="Q569" s="86">
        <v>-1.8109727015003644E-3</v>
      </c>
      <c r="R569" s="86">
        <v>9.5629106859964758E-3</v>
      </c>
    </row>
    <row r="570" spans="2:18">
      <c r="B570" s="85">
        <v>45400</v>
      </c>
      <c r="C570" s="47">
        <v>21995.849609000001</v>
      </c>
      <c r="D570" s="8">
        <f t="shared" si="25"/>
        <v>-6.8652458840651846E-3</v>
      </c>
      <c r="E570" s="41"/>
      <c r="F570" s="41"/>
      <c r="I570" s="85">
        <f t="shared" si="24"/>
        <v>45400</v>
      </c>
      <c r="J570" s="47">
        <v>12.05</v>
      </c>
      <c r="K570" s="8">
        <f t="shared" si="26"/>
        <v>1.3030685161832799E-2</v>
      </c>
      <c r="P570" s="86">
        <v>541</v>
      </c>
      <c r="Q570" s="86">
        <v>-5.813828896526279E-4</v>
      </c>
      <c r="R570" s="86">
        <v>-1.3521181212911402E-2</v>
      </c>
    </row>
    <row r="571" spans="2:18">
      <c r="B571" s="85">
        <v>45401</v>
      </c>
      <c r="C571" s="47">
        <v>22147</v>
      </c>
      <c r="D571" s="8">
        <f t="shared" si="25"/>
        <v>6.8717687057722604E-3</v>
      </c>
      <c r="E571" s="41"/>
      <c r="F571" s="41"/>
      <c r="I571" s="85">
        <f t="shared" si="24"/>
        <v>45401</v>
      </c>
      <c r="J571" s="47">
        <v>12.31</v>
      </c>
      <c r="K571" s="8">
        <f t="shared" si="26"/>
        <v>2.1576763485477161E-2</v>
      </c>
      <c r="P571" s="86">
        <v>542</v>
      </c>
      <c r="Q571" s="86">
        <v>-3.1569227759373464E-3</v>
      </c>
      <c r="R571" s="86">
        <v>-2.3284342937109879E-2</v>
      </c>
    </row>
    <row r="572" spans="2:18">
      <c r="B572" s="85">
        <v>45404</v>
      </c>
      <c r="C572" s="47">
        <v>22336.400390999999</v>
      </c>
      <c r="D572" s="8">
        <f t="shared" si="25"/>
        <v>8.5519659999096585E-3</v>
      </c>
      <c r="E572" s="41"/>
      <c r="F572" s="41"/>
      <c r="I572" s="85">
        <f t="shared" si="24"/>
        <v>45404</v>
      </c>
      <c r="J572" s="47">
        <v>13.095000000000001</v>
      </c>
      <c r="K572" s="8">
        <f t="shared" si="26"/>
        <v>6.3769293257514223E-2</v>
      </c>
      <c r="P572" s="86">
        <v>543</v>
      </c>
      <c r="Q572" s="86">
        <v>5.3772470074323791E-4</v>
      </c>
      <c r="R572" s="86">
        <v>1.2819354551260355E-2</v>
      </c>
    </row>
    <row r="573" spans="2:18">
      <c r="B573" s="85">
        <v>45405</v>
      </c>
      <c r="C573" s="47">
        <v>22368</v>
      </c>
      <c r="D573" s="8">
        <f t="shared" si="25"/>
        <v>1.4147135817252454E-3</v>
      </c>
      <c r="E573" s="41"/>
      <c r="F573" s="41"/>
      <c r="I573" s="85">
        <f t="shared" si="24"/>
        <v>45405</v>
      </c>
      <c r="J573" s="47">
        <v>12.88</v>
      </c>
      <c r="K573" s="8">
        <f t="shared" si="26"/>
        <v>-1.6418480336006097E-2</v>
      </c>
      <c r="P573" s="86">
        <v>544</v>
      </c>
      <c r="Q573" s="86">
        <v>-1.5435030344439721E-3</v>
      </c>
      <c r="R573" s="86">
        <v>1.4724522366605533E-2</v>
      </c>
    </row>
    <row r="574" spans="2:18">
      <c r="B574" s="85">
        <v>45406</v>
      </c>
      <c r="C574" s="47">
        <v>22402.400390999999</v>
      </c>
      <c r="D574" s="8">
        <f t="shared" si="25"/>
        <v>1.5379287821888062E-3</v>
      </c>
      <c r="E574" s="41"/>
      <c r="F574" s="41"/>
      <c r="I574" s="85">
        <f t="shared" si="24"/>
        <v>45406</v>
      </c>
      <c r="J574" s="47">
        <v>12.79</v>
      </c>
      <c r="K574" s="8">
        <f t="shared" si="26"/>
        <v>-6.9875776397516796E-3</v>
      </c>
      <c r="P574" s="86">
        <v>545</v>
      </c>
      <c r="Q574" s="86">
        <v>-3.56647228914615E-4</v>
      </c>
      <c r="R574" s="86">
        <v>1.4667141591447219E-2</v>
      </c>
    </row>
    <row r="575" spans="2:18">
      <c r="B575" s="85">
        <v>45407</v>
      </c>
      <c r="C575" s="47">
        <v>22570.349609000001</v>
      </c>
      <c r="D575" s="8">
        <f t="shared" si="25"/>
        <v>7.4969295731127962E-3</v>
      </c>
      <c r="E575" s="41"/>
      <c r="F575" s="41"/>
      <c r="I575" s="85">
        <f t="shared" si="24"/>
        <v>45407</v>
      </c>
      <c r="J575" s="47">
        <v>13.21</v>
      </c>
      <c r="K575" s="8">
        <f t="shared" si="26"/>
        <v>3.283815480844423E-2</v>
      </c>
      <c r="P575" s="86">
        <v>546</v>
      </c>
      <c r="Q575" s="86">
        <v>-2.4264708217069204E-3</v>
      </c>
      <c r="R575" s="86">
        <v>-2.7073315411726223E-2</v>
      </c>
    </row>
    <row r="576" spans="2:18">
      <c r="B576" s="85">
        <v>45408</v>
      </c>
      <c r="C576" s="47">
        <v>22419.949218999998</v>
      </c>
      <c r="D576" s="8">
        <f t="shared" si="25"/>
        <v>-6.6636269533029242E-3</v>
      </c>
      <c r="E576" s="41"/>
      <c r="F576" s="41"/>
      <c r="I576" s="85">
        <f t="shared" si="24"/>
        <v>45408</v>
      </c>
      <c r="J576" s="47">
        <v>13.11</v>
      </c>
      <c r="K576" s="8">
        <f t="shared" si="26"/>
        <v>-7.5700227100682369E-3</v>
      </c>
      <c r="P576" s="86">
        <v>547</v>
      </c>
      <c r="Q576" s="86">
        <v>-4.3702676890069184E-4</v>
      </c>
      <c r="R576" s="86">
        <v>8.3665421874028825E-3</v>
      </c>
    </row>
    <row r="577" spans="2:18">
      <c r="B577" s="85">
        <v>45411</v>
      </c>
      <c r="C577" s="47">
        <v>22643.400390999999</v>
      </c>
      <c r="D577" s="8">
        <f t="shared" si="25"/>
        <v>9.9666225742668108E-3</v>
      </c>
      <c r="E577" s="41"/>
      <c r="F577" s="41"/>
      <c r="I577" s="85">
        <f t="shared" si="24"/>
        <v>45411</v>
      </c>
      <c r="J577" s="47">
        <v>13.18</v>
      </c>
      <c r="K577" s="8">
        <f t="shared" si="26"/>
        <v>5.339435545385224E-3</v>
      </c>
      <c r="P577" s="86">
        <v>548</v>
      </c>
      <c r="Q577" s="86">
        <v>7.3059947413902781E-4</v>
      </c>
      <c r="R577" s="86">
        <v>4.3412757169217692E-2</v>
      </c>
    </row>
    <row r="578" spans="2:18">
      <c r="B578" s="85">
        <v>45412</v>
      </c>
      <c r="C578" s="47">
        <v>22604.849609000001</v>
      </c>
      <c r="D578" s="8">
        <f t="shared" si="25"/>
        <v>-1.7025173487335891E-3</v>
      </c>
      <c r="E578" s="41"/>
      <c r="F578" s="41"/>
      <c r="I578" s="85">
        <f t="shared" si="24"/>
        <v>45412</v>
      </c>
      <c r="J578" s="47">
        <v>13.6</v>
      </c>
      <c r="K578" s="8">
        <f t="shared" si="26"/>
        <v>3.1866464339908945E-2</v>
      </c>
      <c r="P578" s="86">
        <v>549</v>
      </c>
      <c r="Q578" s="86">
        <v>4.5408319633464156E-5</v>
      </c>
      <c r="R578" s="86">
        <v>-1.0091452689662848E-2</v>
      </c>
    </row>
    <row r="579" spans="2:18">
      <c r="B579" s="85">
        <v>45414</v>
      </c>
      <c r="C579" s="47">
        <v>22648.199218999998</v>
      </c>
      <c r="D579" s="8">
        <f t="shared" si="25"/>
        <v>1.917712824894799E-3</v>
      </c>
      <c r="E579" s="41"/>
      <c r="F579" s="41"/>
      <c r="I579" s="85">
        <f t="shared" si="24"/>
        <v>45414</v>
      </c>
      <c r="J579" s="47">
        <v>13.775</v>
      </c>
      <c r="K579" s="8">
        <f t="shared" si="26"/>
        <v>1.2867647058823583E-2</v>
      </c>
      <c r="P579" s="86">
        <v>550</v>
      </c>
      <c r="Q579" s="86">
        <v>-1.3070776284219519E-3</v>
      </c>
      <c r="R579" s="86">
        <v>-1.6527532383856713E-3</v>
      </c>
    </row>
    <row r="580" spans="2:18">
      <c r="B580" s="85">
        <v>45415</v>
      </c>
      <c r="C580" s="47">
        <v>22475.849609000001</v>
      </c>
      <c r="D580" s="8">
        <f t="shared" si="25"/>
        <v>-7.609859324065384E-3</v>
      </c>
      <c r="E580" s="41"/>
      <c r="F580" s="41"/>
      <c r="I580" s="85">
        <f t="shared" si="24"/>
        <v>45415</v>
      </c>
      <c r="J580" s="47">
        <v>14.13</v>
      </c>
      <c r="K580" s="8">
        <f t="shared" si="26"/>
        <v>2.5771324863883879E-2</v>
      </c>
      <c r="P580" s="86">
        <v>551</v>
      </c>
      <c r="Q580" s="86">
        <v>3.0739911646358962E-4</v>
      </c>
      <c r="R580" s="86">
        <v>-1.9815456792460082E-2</v>
      </c>
    </row>
    <row r="581" spans="2:18">
      <c r="B581" s="85">
        <v>45418</v>
      </c>
      <c r="C581" s="47">
        <v>22442.699218999998</v>
      </c>
      <c r="D581" s="8">
        <f t="shared" si="25"/>
        <v>-1.4749337878968594E-3</v>
      </c>
      <c r="E581" s="41"/>
      <c r="F581" s="41"/>
      <c r="I581" s="85">
        <f t="shared" si="24"/>
        <v>45418</v>
      </c>
      <c r="J581" s="47">
        <v>14.085000000000001</v>
      </c>
      <c r="K581" s="8">
        <f t="shared" si="26"/>
        <v>-3.1847133757961733E-3</v>
      </c>
      <c r="P581" s="86">
        <v>552</v>
      </c>
      <c r="Q581" s="86">
        <v>9.4520727680364434E-4</v>
      </c>
      <c r="R581" s="86">
        <v>5.5283166425618528E-2</v>
      </c>
    </row>
    <row r="582" spans="2:18">
      <c r="B582" s="85">
        <v>45419</v>
      </c>
      <c r="C582" s="47">
        <v>22302.5</v>
      </c>
      <c r="D582" s="8">
        <f t="shared" si="25"/>
        <v>-6.2469856068518509E-3</v>
      </c>
      <c r="E582" s="41"/>
      <c r="F582" s="41"/>
      <c r="I582" s="85">
        <f t="shared" si="24"/>
        <v>45419</v>
      </c>
      <c r="J582" s="47">
        <v>14.2</v>
      </c>
      <c r="K582" s="8">
        <f t="shared" si="26"/>
        <v>8.164714235001664E-3</v>
      </c>
      <c r="P582" s="86">
        <v>553</v>
      </c>
      <c r="Q582" s="86">
        <v>4.1623875272740567E-4</v>
      </c>
      <c r="R582" s="86">
        <v>1.3506775170286511E-2</v>
      </c>
    </row>
    <row r="583" spans="2:18">
      <c r="B583" s="85">
        <v>45420</v>
      </c>
      <c r="C583" s="47">
        <v>22302.5</v>
      </c>
      <c r="D583" s="8">
        <f t="shared" si="25"/>
        <v>0</v>
      </c>
      <c r="E583" s="41"/>
      <c r="F583" s="41"/>
      <c r="I583" s="85">
        <f t="shared" ref="I583:I637" si="27">B583</f>
        <v>45420</v>
      </c>
      <c r="J583" s="47">
        <v>14.055</v>
      </c>
      <c r="K583" s="8">
        <f t="shared" si="26"/>
        <v>-1.0211267605633774E-2</v>
      </c>
      <c r="P583" s="86">
        <v>554</v>
      </c>
      <c r="Q583" s="86">
        <v>-6.6973568568360719E-4</v>
      </c>
      <c r="R583" s="86">
        <v>-2.5612820849142057E-3</v>
      </c>
    </row>
    <row r="584" spans="2:18">
      <c r="B584" s="85">
        <v>45421</v>
      </c>
      <c r="C584" s="47">
        <v>21957.5</v>
      </c>
      <c r="D584" s="8">
        <f t="shared" ref="D584:D637" si="28">(C584-C583)/C583</f>
        <v>-1.5469117811904494E-2</v>
      </c>
      <c r="E584" s="41"/>
      <c r="F584" s="41"/>
      <c r="I584" s="85">
        <f t="shared" si="27"/>
        <v>45421</v>
      </c>
      <c r="J584" s="47">
        <v>13.835000000000001</v>
      </c>
      <c r="K584" s="8">
        <f t="shared" ref="K584:K637" si="29">(J584-J583)/J583</f>
        <v>-1.5652792600497963E-2</v>
      </c>
      <c r="P584" s="86">
        <v>555</v>
      </c>
      <c r="Q584" s="86">
        <v>-7.4451676806050373E-4</v>
      </c>
      <c r="R584" s="86">
        <v>-1.9919988904548814E-2</v>
      </c>
    </row>
    <row r="585" spans="2:18">
      <c r="B585" s="85">
        <v>45422</v>
      </c>
      <c r="C585" s="47">
        <v>22055.199218999998</v>
      </c>
      <c r="D585" s="8">
        <f t="shared" si="28"/>
        <v>4.4494691563246392E-3</v>
      </c>
      <c r="E585" s="41"/>
      <c r="F585" s="41"/>
      <c r="I585" s="85">
        <f t="shared" si="27"/>
        <v>45422</v>
      </c>
      <c r="J585" s="47">
        <v>13.875</v>
      </c>
      <c r="K585" s="8">
        <f t="shared" si="29"/>
        <v>2.8912179255510765E-3</v>
      </c>
      <c r="P585" s="86">
        <v>556</v>
      </c>
      <c r="Q585" s="86">
        <v>-2.929889871256257E-6</v>
      </c>
      <c r="R585" s="86">
        <v>-1.6520142557639402E-3</v>
      </c>
    </row>
    <row r="586" spans="2:18">
      <c r="B586" s="85">
        <v>45425</v>
      </c>
      <c r="C586" s="47">
        <v>22104.050781000002</v>
      </c>
      <c r="D586" s="8">
        <f t="shared" si="28"/>
        <v>2.2149680678431177E-3</v>
      </c>
      <c r="E586" s="41"/>
      <c r="F586" s="41"/>
      <c r="I586" s="85">
        <f t="shared" si="27"/>
        <v>45425</v>
      </c>
      <c r="J586" s="47">
        <v>14.85</v>
      </c>
      <c r="K586" s="8">
        <f t="shared" si="29"/>
        <v>7.0270270270270246E-2</v>
      </c>
      <c r="P586" s="86">
        <v>557</v>
      </c>
      <c r="Q586" s="86">
        <v>-6.1153618962195928E-4</v>
      </c>
      <c r="R586" s="86">
        <v>-3.5028745617257419E-2</v>
      </c>
    </row>
    <row r="587" spans="2:18">
      <c r="B587" s="85">
        <v>45426</v>
      </c>
      <c r="C587" s="47">
        <v>22217.849609000001</v>
      </c>
      <c r="D587" s="8">
        <f t="shared" si="28"/>
        <v>5.1483245821085976E-3</v>
      </c>
      <c r="E587" s="41"/>
      <c r="F587" s="41"/>
      <c r="I587" s="85">
        <f t="shared" si="27"/>
        <v>45426</v>
      </c>
      <c r="J587" s="47">
        <v>14.9</v>
      </c>
      <c r="K587" s="8">
        <f t="shared" si="29"/>
        <v>3.367003367003415E-3</v>
      </c>
      <c r="P587" s="86">
        <v>558</v>
      </c>
      <c r="Q587" s="86">
        <v>5.3889678494092234E-4</v>
      </c>
      <c r="R587" s="86">
        <v>1.7080355471182848E-2</v>
      </c>
    </row>
    <row r="588" spans="2:18">
      <c r="B588" s="85">
        <v>45427</v>
      </c>
      <c r="C588" s="47">
        <v>22200.550781000002</v>
      </c>
      <c r="D588" s="8">
        <f t="shared" si="28"/>
        <v>-7.7860046334059458E-4</v>
      </c>
      <c r="E588" s="41"/>
      <c r="F588" s="41"/>
      <c r="I588" s="85">
        <f t="shared" si="27"/>
        <v>45427</v>
      </c>
      <c r="J588" s="47">
        <v>14.83</v>
      </c>
      <c r="K588" s="8">
        <f t="shared" si="29"/>
        <v>-4.6979865771812268E-3</v>
      </c>
      <c r="P588" s="86">
        <v>559</v>
      </c>
      <c r="Q588" s="86">
        <v>-7.7966722358464228E-4</v>
      </c>
      <c r="R588" s="86">
        <v>1.9360748304665776E-2</v>
      </c>
    </row>
    <row r="589" spans="2:18">
      <c r="B589" s="85">
        <v>45428</v>
      </c>
      <c r="C589" s="47">
        <v>22403.849609000001</v>
      </c>
      <c r="D589" s="8">
        <f t="shared" si="28"/>
        <v>9.1573776707373055E-3</v>
      </c>
      <c r="E589" s="41"/>
      <c r="F589" s="41"/>
      <c r="I589" s="85">
        <f t="shared" si="27"/>
        <v>45428</v>
      </c>
      <c r="J589" s="47">
        <v>14.37</v>
      </c>
      <c r="K589" s="8">
        <f t="shared" si="29"/>
        <v>-3.1018206338503093E-2</v>
      </c>
      <c r="P589" s="86">
        <v>560</v>
      </c>
      <c r="Q589" s="86">
        <v>2.2285200212676139E-4</v>
      </c>
      <c r="R589" s="86">
        <v>-4.783382682060403E-3</v>
      </c>
    </row>
    <row r="590" spans="2:18">
      <c r="B590" s="85">
        <v>45429</v>
      </c>
      <c r="C590" s="47">
        <v>22466.099609000001</v>
      </c>
      <c r="D590" s="8">
        <f t="shared" si="28"/>
        <v>2.7785403440216423E-3</v>
      </c>
      <c r="E590" s="41"/>
      <c r="F590" s="41"/>
      <c r="I590" s="85">
        <f t="shared" si="27"/>
        <v>45429</v>
      </c>
      <c r="J590" s="47">
        <v>14.295</v>
      </c>
      <c r="K590" s="8">
        <f t="shared" si="29"/>
        <v>-5.2192066805845016E-3</v>
      </c>
      <c r="P590" s="86">
        <v>561</v>
      </c>
      <c r="Q590" s="86">
        <v>-2.3420314624155256E-3</v>
      </c>
      <c r="R590" s="86">
        <v>-2.0981583697934424E-2</v>
      </c>
    </row>
    <row r="591" spans="2:18">
      <c r="B591" s="85">
        <v>45433</v>
      </c>
      <c r="C591" s="47">
        <v>22529.050781000002</v>
      </c>
      <c r="D591" s="8">
        <f t="shared" si="28"/>
        <v>2.8020516732144497E-3</v>
      </c>
      <c r="E591" s="41"/>
      <c r="F591" s="41"/>
      <c r="I591" s="85">
        <f t="shared" si="27"/>
        <v>45433</v>
      </c>
      <c r="J591" s="47">
        <v>13.875</v>
      </c>
      <c r="K591" s="8">
        <f t="shared" si="29"/>
        <v>-2.9380902413431265E-2</v>
      </c>
      <c r="P591" s="86">
        <v>562</v>
      </c>
      <c r="Q591" s="86">
        <v>-2.4537456658437484E-3</v>
      </c>
      <c r="R591" s="86">
        <v>3.9127519653050551E-2</v>
      </c>
    </row>
    <row r="592" spans="2:18">
      <c r="B592" s="85">
        <v>45434</v>
      </c>
      <c r="C592" s="47">
        <v>22597.800781000002</v>
      </c>
      <c r="D592" s="8">
        <f t="shared" si="28"/>
        <v>3.0516154749840011E-3</v>
      </c>
      <c r="E592" s="41"/>
      <c r="F592" s="41"/>
      <c r="I592" s="85">
        <f t="shared" si="27"/>
        <v>45434</v>
      </c>
      <c r="J592" s="47">
        <v>14.29</v>
      </c>
      <c r="K592" s="8">
        <f t="shared" si="29"/>
        <v>2.9909909909909847E-2</v>
      </c>
      <c r="P592" s="86">
        <v>563</v>
      </c>
      <c r="Q592" s="86">
        <v>-1.5480330688220818E-3</v>
      </c>
      <c r="R592" s="86">
        <v>-1.9842341262728706E-2</v>
      </c>
    </row>
    <row r="593" spans="2:18">
      <c r="B593" s="85">
        <v>45435</v>
      </c>
      <c r="C593" s="47">
        <v>22967.650390999999</v>
      </c>
      <c r="D593" s="8">
        <f t="shared" si="28"/>
        <v>1.6366619636321567E-2</v>
      </c>
      <c r="E593" s="41"/>
      <c r="F593" s="41"/>
      <c r="I593" s="85">
        <f t="shared" si="27"/>
        <v>45435</v>
      </c>
      <c r="J593" s="47">
        <v>15.1</v>
      </c>
      <c r="K593" s="8">
        <f t="shared" si="29"/>
        <v>5.6682995101469597E-2</v>
      </c>
      <c r="P593" s="86">
        <v>564</v>
      </c>
      <c r="Q593" s="86">
        <v>-1.7624056187828768E-3</v>
      </c>
      <c r="R593" s="86">
        <v>1.4793090780615676E-2</v>
      </c>
    </row>
    <row r="594" spans="2:18">
      <c r="B594" s="85">
        <v>45436</v>
      </c>
      <c r="C594" s="47">
        <v>22957.099609000001</v>
      </c>
      <c r="D594" s="8">
        <f t="shared" si="28"/>
        <v>-4.5937576636628086E-4</v>
      </c>
      <c r="E594" s="41"/>
      <c r="F594" s="41"/>
      <c r="I594" s="85">
        <f t="shared" si="27"/>
        <v>45436</v>
      </c>
      <c r="J594" s="47">
        <v>15.1</v>
      </c>
      <c r="K594" s="8">
        <f t="shared" si="29"/>
        <v>0</v>
      </c>
      <c r="P594" s="86">
        <v>565</v>
      </c>
      <c r="Q594" s="86">
        <v>5.5468543627645742E-4</v>
      </c>
      <c r="R594" s="86">
        <v>2.1022078049200702E-2</v>
      </c>
    </row>
    <row r="595" spans="2:18">
      <c r="B595" s="85">
        <v>45439</v>
      </c>
      <c r="C595" s="47">
        <v>22932.449218999998</v>
      </c>
      <c r="D595" s="8">
        <f t="shared" si="28"/>
        <v>-1.0737588989829833E-3</v>
      </c>
      <c r="E595" s="41"/>
      <c r="F595" s="41"/>
      <c r="I595" s="85">
        <f t="shared" si="27"/>
        <v>45439</v>
      </c>
      <c r="J595" s="47">
        <v>15.44</v>
      </c>
      <c r="K595" s="8">
        <f t="shared" si="29"/>
        <v>2.2516556291390721E-2</v>
      </c>
      <c r="P595" s="86">
        <v>566</v>
      </c>
      <c r="Q595" s="86">
        <v>8.3809272943466699E-4</v>
      </c>
      <c r="R595" s="86">
        <v>6.2931200528079559E-2</v>
      </c>
    </row>
    <row r="596" spans="2:18">
      <c r="B596" s="85">
        <v>45440</v>
      </c>
      <c r="C596" s="47">
        <v>22888.150390999999</v>
      </c>
      <c r="D596" s="8">
        <f t="shared" si="28"/>
        <v>-1.9317094121502109E-3</v>
      </c>
      <c r="E596" s="41"/>
      <c r="F596" s="41"/>
      <c r="I596" s="85">
        <f t="shared" si="27"/>
        <v>45440</v>
      </c>
      <c r="J596" s="47">
        <v>15.335000000000001</v>
      </c>
      <c r="K596" s="8">
        <f t="shared" si="29"/>
        <v>-6.800518134714939E-3</v>
      </c>
      <c r="P596" s="86">
        <v>567</v>
      </c>
      <c r="Q596" s="86">
        <v>-3.6578338409222445E-4</v>
      </c>
      <c r="R596" s="86">
        <v>-1.6052696951913872E-2</v>
      </c>
    </row>
    <row r="597" spans="2:18">
      <c r="B597" s="85">
        <v>45441</v>
      </c>
      <c r="C597" s="47">
        <v>22704.699218999998</v>
      </c>
      <c r="D597" s="8">
        <f t="shared" si="28"/>
        <v>-8.0151156325911337E-3</v>
      </c>
      <c r="E597" s="41"/>
      <c r="F597" s="41"/>
      <c r="I597" s="85">
        <f t="shared" si="27"/>
        <v>45441</v>
      </c>
      <c r="J597" s="47">
        <v>15.04</v>
      </c>
      <c r="K597" s="8">
        <f t="shared" si="29"/>
        <v>-1.9237039452233564E-2</v>
      </c>
      <c r="P597" s="86">
        <v>568</v>
      </c>
      <c r="Q597" s="86">
        <v>-3.4500005908559084E-4</v>
      </c>
      <c r="R597" s="86">
        <v>-6.6425775806660883E-3</v>
      </c>
    </row>
    <row r="598" spans="2:18">
      <c r="B598" s="85">
        <v>45442</v>
      </c>
      <c r="C598" s="47">
        <v>22488.650390999999</v>
      </c>
      <c r="D598" s="8">
        <f t="shared" si="28"/>
        <v>-9.5155996525689568E-3</v>
      </c>
      <c r="E598" s="41"/>
      <c r="F598" s="41"/>
      <c r="I598" s="85">
        <f t="shared" si="27"/>
        <v>45442</v>
      </c>
      <c r="J598" s="47">
        <v>14.904999999999999</v>
      </c>
      <c r="K598" s="8">
        <f t="shared" si="29"/>
        <v>-8.976063829787221E-3</v>
      </c>
      <c r="P598" s="86">
        <v>569</v>
      </c>
      <c r="Q598" s="86">
        <v>6.601344509961129E-4</v>
      </c>
      <c r="R598" s="86">
        <v>3.2178020357448114E-2</v>
      </c>
    </row>
    <row r="599" spans="2:18">
      <c r="B599" s="85">
        <v>45443</v>
      </c>
      <c r="C599" s="47">
        <v>22530.699218999998</v>
      </c>
      <c r="D599" s="8">
        <f t="shared" si="28"/>
        <v>1.8697799676243385E-3</v>
      </c>
      <c r="E599" s="41"/>
      <c r="F599" s="41"/>
      <c r="I599" s="85">
        <f t="shared" si="27"/>
        <v>45443</v>
      </c>
      <c r="J599" s="47">
        <v>15.045</v>
      </c>
      <c r="K599" s="8">
        <f t="shared" si="29"/>
        <v>9.3928212009393199E-3</v>
      </c>
      <c r="P599" s="86">
        <v>570</v>
      </c>
      <c r="Q599" s="86">
        <v>-1.7283975438882439E-3</v>
      </c>
      <c r="R599" s="86">
        <v>-5.841625166179993E-3</v>
      </c>
    </row>
    <row r="600" spans="2:18">
      <c r="B600" s="85">
        <v>45446</v>
      </c>
      <c r="C600" s="47">
        <v>23263.900390999999</v>
      </c>
      <c r="D600" s="8">
        <f t="shared" si="28"/>
        <v>3.2542317700539759E-2</v>
      </c>
      <c r="E600" s="41"/>
      <c r="F600" s="41"/>
      <c r="I600" s="85">
        <f t="shared" si="27"/>
        <v>45446</v>
      </c>
      <c r="J600" s="47">
        <v>15.255000000000001</v>
      </c>
      <c r="K600" s="8">
        <f t="shared" si="29"/>
        <v>1.3958125623130665E-2</v>
      </c>
      <c r="P600" s="86">
        <v>571</v>
      </c>
      <c r="Q600" s="86">
        <v>1.0767099393813461E-3</v>
      </c>
      <c r="R600" s="86">
        <v>4.2627256060038775E-3</v>
      </c>
    </row>
    <row r="601" spans="2:18">
      <c r="B601" s="85">
        <v>45447</v>
      </c>
      <c r="C601" s="47">
        <v>21884.5</v>
      </c>
      <c r="D601" s="8">
        <f t="shared" si="28"/>
        <v>-5.929359943157432E-2</v>
      </c>
      <c r="E601" s="41"/>
      <c r="F601" s="41"/>
      <c r="I601" s="85">
        <f t="shared" si="27"/>
        <v>45447</v>
      </c>
      <c r="J601" s="47">
        <v>14.875</v>
      </c>
      <c r="K601" s="8">
        <f t="shared" si="29"/>
        <v>-2.4909865617830269E-2</v>
      </c>
      <c r="P601" s="86">
        <v>572</v>
      </c>
      <c r="Q601" s="86">
        <v>-8.9158233831797837E-4</v>
      </c>
      <c r="R601" s="86">
        <v>3.2758046678226925E-2</v>
      </c>
    </row>
    <row r="602" spans="2:18">
      <c r="B602" s="85">
        <v>45448</v>
      </c>
      <c r="C602" s="47">
        <v>22620.349609000001</v>
      </c>
      <c r="D602" s="8">
        <f t="shared" si="28"/>
        <v>3.3624236742900264E-2</v>
      </c>
      <c r="E602" s="41"/>
      <c r="F602" s="41"/>
      <c r="I602" s="85">
        <f t="shared" si="27"/>
        <v>45448</v>
      </c>
      <c r="J602" s="47">
        <v>15.545</v>
      </c>
      <c r="K602" s="8">
        <f t="shared" si="29"/>
        <v>4.5042016806722686E-2</v>
      </c>
      <c r="P602" s="86">
        <v>573</v>
      </c>
      <c r="Q602" s="86">
        <v>-2.80939982388916E-4</v>
      </c>
      <c r="R602" s="86">
        <v>1.3148587041212498E-2</v>
      </c>
    </row>
    <row r="603" spans="2:18">
      <c r="B603" s="85">
        <v>45449</v>
      </c>
      <c r="C603" s="47">
        <v>22821.400390999999</v>
      </c>
      <c r="D603" s="8">
        <f t="shared" si="28"/>
        <v>8.8880492775410495E-3</v>
      </c>
      <c r="E603" s="41"/>
      <c r="F603" s="41"/>
      <c r="I603" s="85">
        <f t="shared" si="27"/>
        <v>45449</v>
      </c>
      <c r="J603" s="47">
        <v>15.555</v>
      </c>
      <c r="K603" s="8">
        <f t="shared" si="29"/>
        <v>6.4329366355740029E-4</v>
      </c>
      <c r="P603" s="86">
        <v>574</v>
      </c>
      <c r="Q603" s="86">
        <v>-1.8880032972317167E-3</v>
      </c>
      <c r="R603" s="86">
        <v>2.7659328161115597E-2</v>
      </c>
    </row>
    <row r="604" spans="2:18">
      <c r="B604" s="85">
        <v>45450</v>
      </c>
      <c r="C604" s="47">
        <v>23290.150390999999</v>
      </c>
      <c r="D604" s="8">
        <f t="shared" si="28"/>
        <v>2.0539931466469489E-2</v>
      </c>
      <c r="E604" s="41"/>
      <c r="F604" s="41"/>
      <c r="I604" s="85">
        <f t="shared" si="27"/>
        <v>45450</v>
      </c>
      <c r="J604" s="47">
        <v>15.595000000000001</v>
      </c>
      <c r="K604" s="8">
        <f t="shared" si="29"/>
        <v>2.5715204114433255E-3</v>
      </c>
      <c r="P604" s="86">
        <v>575</v>
      </c>
      <c r="Q604" s="86">
        <v>-8.5319467922038549E-4</v>
      </c>
      <c r="R604" s="86">
        <v>-2.3315186965757878E-3</v>
      </c>
    </row>
    <row r="605" spans="2:18">
      <c r="B605" s="85">
        <v>45453</v>
      </c>
      <c r="C605" s="47">
        <v>23259.199218999998</v>
      </c>
      <c r="D605" s="8">
        <f t="shared" si="28"/>
        <v>-1.3289382627585521E-3</v>
      </c>
      <c r="E605" s="41"/>
      <c r="F605" s="41"/>
      <c r="I605" s="85">
        <f t="shared" si="27"/>
        <v>45453</v>
      </c>
      <c r="J605" s="47">
        <v>15.645</v>
      </c>
      <c r="K605" s="8">
        <f t="shared" si="29"/>
        <v>3.2061558191727431E-3</v>
      </c>
      <c r="P605" s="86">
        <v>576</v>
      </c>
      <c r="Q605" s="86">
        <v>-1.6581205611627646E-3</v>
      </c>
      <c r="R605" s="86">
        <v>9.8228347961644286E-3</v>
      </c>
    </row>
    <row r="606" spans="2:18">
      <c r="B606" s="85">
        <v>45454</v>
      </c>
      <c r="C606" s="47">
        <v>23264.849609000001</v>
      </c>
      <c r="D606" s="8">
        <f t="shared" si="28"/>
        <v>2.4293140734556418E-4</v>
      </c>
      <c r="E606" s="41"/>
      <c r="F606" s="41"/>
      <c r="I606" s="85">
        <f t="shared" si="27"/>
        <v>45454</v>
      </c>
      <c r="J606" s="47">
        <v>17.110001</v>
      </c>
      <c r="K606" s="8">
        <f t="shared" si="29"/>
        <v>9.3640204538191177E-2</v>
      </c>
      <c r="P606" s="86">
        <v>577</v>
      </c>
      <c r="Q606" s="86">
        <v>-6.0441020975721116E-4</v>
      </c>
      <c r="R606" s="86">
        <v>-9.6068573958765623E-3</v>
      </c>
    </row>
    <row r="607" spans="2:18">
      <c r="B607" s="85">
        <v>45455</v>
      </c>
      <c r="C607" s="47">
        <v>23322.949218999998</v>
      </c>
      <c r="D607" s="8">
        <f t="shared" si="28"/>
        <v>2.4973129410439717E-3</v>
      </c>
      <c r="E607" s="41"/>
      <c r="F607" s="41"/>
      <c r="I607" s="85">
        <f t="shared" si="27"/>
        <v>45455</v>
      </c>
      <c r="J607" s="47">
        <v>16.59</v>
      </c>
      <c r="K607" s="8">
        <f t="shared" si="29"/>
        <v>-3.0391640538185858E-2</v>
      </c>
      <c r="P607" s="86">
        <v>578</v>
      </c>
      <c r="Q607" s="86">
        <v>-3.2136637908183837E-3</v>
      </c>
      <c r="R607" s="86">
        <v>-1.2439128809679579E-2</v>
      </c>
    </row>
    <row r="608" spans="2:18">
      <c r="B608" s="85">
        <v>45456</v>
      </c>
      <c r="C608" s="47">
        <v>23398.900390999999</v>
      </c>
      <c r="D608" s="8">
        <f t="shared" si="28"/>
        <v>3.2564994798396879E-3</v>
      </c>
      <c r="E608" s="41"/>
      <c r="F608" s="41"/>
      <c r="I608" s="85">
        <f t="shared" si="27"/>
        <v>45456</v>
      </c>
      <c r="J608" s="47">
        <v>17.110001</v>
      </c>
      <c r="K608" s="8">
        <f t="shared" si="29"/>
        <v>3.1344243520192924E-2</v>
      </c>
      <c r="P608" s="86">
        <v>579</v>
      </c>
      <c r="Q608" s="86">
        <v>1.4610403876876531E-4</v>
      </c>
      <c r="R608" s="86">
        <v>2.7451138867823112E-3</v>
      </c>
    </row>
    <row r="609" spans="2:18">
      <c r="B609" s="85">
        <v>45457</v>
      </c>
      <c r="C609" s="47">
        <v>23465.599609000001</v>
      </c>
      <c r="D609" s="8">
        <f t="shared" si="28"/>
        <v>2.850527883167378E-3</v>
      </c>
      <c r="E609" s="41"/>
      <c r="F609" s="41"/>
      <c r="I609" s="85">
        <f t="shared" si="27"/>
        <v>45457</v>
      </c>
      <c r="J609" s="47">
        <v>18</v>
      </c>
      <c r="K609" s="8">
        <f t="shared" si="29"/>
        <v>5.2016303213541573E-2</v>
      </c>
      <c r="P609" s="86">
        <v>580</v>
      </c>
      <c r="Q609" s="86">
        <v>-2.3080045170700321E-4</v>
      </c>
      <c r="R609" s="86">
        <v>7.0501070721977255E-2</v>
      </c>
    </row>
    <row r="610" spans="2:18">
      <c r="B610" s="85">
        <v>45461</v>
      </c>
      <c r="C610" s="47">
        <v>23557.900390999999</v>
      </c>
      <c r="D610" s="8">
        <f t="shared" si="28"/>
        <v>3.9334508189851399E-3</v>
      </c>
      <c r="E610" s="41"/>
      <c r="F610" s="41"/>
      <c r="I610" s="85">
        <f t="shared" si="27"/>
        <v>45461</v>
      </c>
      <c r="J610" s="47">
        <v>18.260000000000002</v>
      </c>
      <c r="K610" s="8">
        <f t="shared" si="29"/>
        <v>1.4444444444444531E-2</v>
      </c>
      <c r="P610" s="86">
        <v>581</v>
      </c>
      <c r="Q610" s="86">
        <v>2.639834837728966E-4</v>
      </c>
      <c r="R610" s="86">
        <v>3.1030198832305185E-3</v>
      </c>
    </row>
    <row r="611" spans="2:18">
      <c r="B611" s="85">
        <v>45462</v>
      </c>
      <c r="C611" s="47">
        <v>23516</v>
      </c>
      <c r="D611" s="8">
        <f t="shared" si="28"/>
        <v>-1.7786131320941801E-3</v>
      </c>
      <c r="E611" s="41"/>
      <c r="F611" s="41"/>
      <c r="I611" s="85">
        <f t="shared" si="27"/>
        <v>45462</v>
      </c>
      <c r="J611" s="47">
        <v>17.989999999999998</v>
      </c>
      <c r="K611" s="8">
        <f t="shared" si="29"/>
        <v>-1.4786418400876402E-2</v>
      </c>
      <c r="P611" s="86">
        <v>582</v>
      </c>
      <c r="Q611" s="86">
        <v>-7.3574064966270549E-4</v>
      </c>
      <c r="R611" s="86">
        <v>-3.9622459275185217E-3</v>
      </c>
    </row>
    <row r="612" spans="2:18">
      <c r="B612" s="85">
        <v>45463</v>
      </c>
      <c r="C612" s="47">
        <v>23567</v>
      </c>
      <c r="D612" s="8">
        <f t="shared" si="28"/>
        <v>2.1687361796223848E-3</v>
      </c>
      <c r="E612" s="41"/>
      <c r="F612" s="41"/>
      <c r="I612" s="85">
        <f t="shared" si="27"/>
        <v>45463</v>
      </c>
      <c r="J612" s="47">
        <v>18.245000999999998</v>
      </c>
      <c r="K612" s="8">
        <f t="shared" si="29"/>
        <v>1.4174596998332409E-2</v>
      </c>
      <c r="P612" s="86">
        <v>583</v>
      </c>
      <c r="Q612" s="86">
        <v>9.4021054826125868E-4</v>
      </c>
      <c r="R612" s="86">
        <v>-3.1958416886764353E-2</v>
      </c>
    </row>
    <row r="613" spans="2:18">
      <c r="B613" s="85">
        <v>45464</v>
      </c>
      <c r="C613" s="47">
        <v>23501.099609000001</v>
      </c>
      <c r="D613" s="8">
        <f t="shared" si="28"/>
        <v>-2.7962995290023852E-3</v>
      </c>
      <c r="E613" s="41"/>
      <c r="F613" s="41"/>
      <c r="I613" s="85">
        <f t="shared" si="27"/>
        <v>45464</v>
      </c>
      <c r="J613" s="47">
        <v>18.084999</v>
      </c>
      <c r="K613" s="8">
        <f t="shared" si="29"/>
        <v>-8.7696350359201761E-3</v>
      </c>
      <c r="P613" s="86">
        <v>584</v>
      </c>
      <c r="Q613" s="86">
        <v>-1.3573989313565637E-4</v>
      </c>
      <c r="R613" s="86">
        <v>-5.0834667874488449E-3</v>
      </c>
    </row>
    <row r="614" spans="2:18">
      <c r="B614" s="85">
        <v>45467</v>
      </c>
      <c r="C614" s="47">
        <v>23537.849609000001</v>
      </c>
      <c r="D614" s="8">
        <f t="shared" si="28"/>
        <v>1.5637566161340888E-3</v>
      </c>
      <c r="E614" s="41"/>
      <c r="F614" s="41"/>
      <c r="I614" s="85">
        <f t="shared" si="27"/>
        <v>45467</v>
      </c>
      <c r="J614" s="47">
        <v>17.155376</v>
      </c>
      <c r="K614" s="8">
        <f t="shared" si="29"/>
        <v>-5.1402988742216653E-2</v>
      </c>
      <c r="P614" s="86">
        <v>585</v>
      </c>
      <c r="Q614" s="86">
        <v>-1.3177411948018456E-4</v>
      </c>
      <c r="R614" s="86">
        <v>-2.9249128293951081E-2</v>
      </c>
    </row>
    <row r="615" spans="2:18">
      <c r="B615" s="85">
        <v>45468</v>
      </c>
      <c r="C615" s="47">
        <v>23721.300781000002</v>
      </c>
      <c r="D615" s="8">
        <f t="shared" si="28"/>
        <v>7.7938798593502794E-3</v>
      </c>
      <c r="E615" s="41"/>
      <c r="F615" s="41"/>
      <c r="I615" s="85">
        <f t="shared" si="27"/>
        <v>45468</v>
      </c>
      <c r="J615" s="47">
        <v>17.112938</v>
      </c>
      <c r="K615" s="8">
        <f t="shared" si="29"/>
        <v>-2.4737435075745727E-3</v>
      </c>
      <c r="P615" s="86">
        <v>586</v>
      </c>
      <c r="Q615" s="86">
        <v>-8.9678943052649688E-5</v>
      </c>
      <c r="R615" s="86">
        <v>2.9999588852962496E-2</v>
      </c>
    </row>
    <row r="616" spans="2:18">
      <c r="B616" s="85">
        <v>45469</v>
      </c>
      <c r="C616" s="47">
        <v>23868.800781000002</v>
      </c>
      <c r="D616" s="8">
        <f t="shared" si="28"/>
        <v>6.2180401219035491E-3</v>
      </c>
      <c r="E616" s="41"/>
      <c r="F616" s="41"/>
      <c r="I616" s="85">
        <f t="shared" si="27"/>
        <v>45469</v>
      </c>
      <c r="J616" s="47">
        <v>17.103504000000001</v>
      </c>
      <c r="K616" s="8">
        <f t="shared" si="29"/>
        <v>-5.5127880437589574E-4</v>
      </c>
      <c r="P616" s="86">
        <v>587</v>
      </c>
      <c r="Q616" s="86">
        <v>2.1562294993200662E-3</v>
      </c>
      <c r="R616" s="86">
        <v>5.4526765602149529E-2</v>
      </c>
    </row>
    <row r="617" spans="2:18">
      <c r="B617" s="85">
        <v>45470</v>
      </c>
      <c r="C617" s="47">
        <v>24044.5</v>
      </c>
      <c r="D617" s="8">
        <f t="shared" si="28"/>
        <v>7.3610409090957779E-3</v>
      </c>
      <c r="E617" s="41"/>
      <c r="F617" s="41"/>
      <c r="I617" s="85">
        <f t="shared" si="27"/>
        <v>45470</v>
      </c>
      <c r="J617" s="47">
        <v>17.183672000000001</v>
      </c>
      <c r="K617" s="8">
        <f t="shared" si="29"/>
        <v>4.6872266641970238E-3</v>
      </c>
      <c r="P617" s="86">
        <v>588</v>
      </c>
      <c r="Q617" s="86">
        <v>-6.8189542113245298E-4</v>
      </c>
      <c r="R617" s="86">
        <v>6.8189542113245298E-4</v>
      </c>
    </row>
    <row r="618" spans="2:18">
      <c r="B618" s="85">
        <v>45471</v>
      </c>
      <c r="C618" s="47">
        <v>24010.599609000001</v>
      </c>
      <c r="D618" s="8">
        <f t="shared" si="28"/>
        <v>-1.4099020981929015E-3</v>
      </c>
      <c r="E618" s="41"/>
      <c r="F618" s="41"/>
      <c r="I618" s="85">
        <f t="shared" si="27"/>
        <v>45471</v>
      </c>
      <c r="J618" s="47">
        <v>17.631653</v>
      </c>
      <c r="K618" s="8">
        <f t="shared" si="29"/>
        <v>2.6070155435927698E-2</v>
      </c>
      <c r="P618" s="86">
        <v>589</v>
      </c>
      <c r="Q618" s="86">
        <v>-7.8552650135410833E-4</v>
      </c>
      <c r="R618" s="86">
        <v>2.330208279274483E-2</v>
      </c>
    </row>
    <row r="619" spans="2:18">
      <c r="B619" s="85">
        <v>45474</v>
      </c>
      <c r="C619" s="47">
        <v>24141.949218999998</v>
      </c>
      <c r="D619" s="8">
        <f t="shared" si="28"/>
        <v>5.4704843751908266E-3</v>
      </c>
      <c r="E619" s="41"/>
      <c r="F619" s="41"/>
      <c r="I619" s="85">
        <f t="shared" si="27"/>
        <v>45474</v>
      </c>
      <c r="J619" s="47">
        <v>18.612499</v>
      </c>
      <c r="K619" s="8">
        <f t="shared" si="29"/>
        <v>5.5629837996471442E-2</v>
      </c>
      <c r="P619" s="86">
        <v>590</v>
      </c>
      <c r="Q619" s="86">
        <v>-9.3024131160218226E-4</v>
      </c>
      <c r="R619" s="86">
        <v>-5.8702768231127566E-3</v>
      </c>
    </row>
    <row r="620" spans="2:18">
      <c r="B620" s="85">
        <v>45475</v>
      </c>
      <c r="C620" s="47">
        <v>24123.849609000001</v>
      </c>
      <c r="D620" s="8">
        <f t="shared" si="28"/>
        <v>-7.4971618222744319E-4</v>
      </c>
      <c r="E620" s="41"/>
      <c r="F620" s="41"/>
      <c r="I620" s="85">
        <f t="shared" si="27"/>
        <v>45475</v>
      </c>
      <c r="J620" s="47">
        <v>18.77</v>
      </c>
      <c r="K620" s="8">
        <f t="shared" si="29"/>
        <v>8.4621092524974698E-3</v>
      </c>
      <c r="P620" s="86">
        <v>591</v>
      </c>
      <c r="Q620" s="86">
        <v>-1.9563599085864179E-3</v>
      </c>
      <c r="R620" s="86">
        <v>-1.7280679543647145E-2</v>
      </c>
    </row>
    <row r="621" spans="2:18">
      <c r="B621" s="85">
        <v>45476</v>
      </c>
      <c r="C621" s="47">
        <v>24286.5</v>
      </c>
      <c r="D621" s="8">
        <f t="shared" si="28"/>
        <v>6.7423066233723511E-3</v>
      </c>
      <c r="E621" s="41"/>
      <c r="F621" s="41"/>
      <c r="I621" s="85">
        <f t="shared" si="27"/>
        <v>45476</v>
      </c>
      <c r="J621" s="47">
        <v>18.829999999999998</v>
      </c>
      <c r="K621" s="8">
        <f t="shared" si="29"/>
        <v>3.1965903036760106E-3</v>
      </c>
      <c r="P621" s="86">
        <v>592</v>
      </c>
      <c r="Q621" s="86">
        <v>-2.2094540636674038E-3</v>
      </c>
      <c r="R621" s="86">
        <v>-6.7666097661198167E-3</v>
      </c>
    </row>
    <row r="622" spans="2:18">
      <c r="B622" s="85">
        <v>45477</v>
      </c>
      <c r="C622" s="47">
        <v>24302.150390999999</v>
      </c>
      <c r="D622" s="8">
        <f t="shared" si="28"/>
        <v>6.4440701624355994E-4</v>
      </c>
      <c r="E622" s="41"/>
      <c r="F622" s="41"/>
      <c r="I622" s="85">
        <f t="shared" si="27"/>
        <v>45477</v>
      </c>
      <c r="J622" s="47">
        <v>18.700001</v>
      </c>
      <c r="K622" s="8">
        <f t="shared" si="29"/>
        <v>-6.9038236856079653E-3</v>
      </c>
      <c r="P622" s="86">
        <v>593</v>
      </c>
      <c r="Q622" s="86">
        <v>-2.8902505750465365E-4</v>
      </c>
      <c r="R622" s="86">
        <v>9.6818462584439737E-3</v>
      </c>
    </row>
    <row r="623" spans="2:18">
      <c r="B623" s="85">
        <v>45478</v>
      </c>
      <c r="C623" s="47">
        <v>24323.849609000001</v>
      </c>
      <c r="D623" s="8">
        <f t="shared" si="28"/>
        <v>8.9289291897549949E-4</v>
      </c>
      <c r="E623" s="41"/>
      <c r="F623" s="41"/>
      <c r="I623" s="85">
        <f t="shared" si="27"/>
        <v>45478</v>
      </c>
      <c r="J623" s="47">
        <v>17.989999999999998</v>
      </c>
      <c r="K623" s="8">
        <f t="shared" si="29"/>
        <v>-3.7967965884066097E-2</v>
      </c>
      <c r="P623" s="86">
        <v>594</v>
      </c>
      <c r="Q623" s="86">
        <v>4.8846655105672585E-3</v>
      </c>
      <c r="R623" s="86">
        <v>9.0734601125634067E-3</v>
      </c>
    </row>
    <row r="624" spans="2:18">
      <c r="B624" s="85">
        <v>45481</v>
      </c>
      <c r="C624" s="47">
        <v>24320.550781000002</v>
      </c>
      <c r="D624" s="8">
        <f t="shared" si="28"/>
        <v>-1.3562113123649877E-4</v>
      </c>
      <c r="E624" s="41"/>
      <c r="F624" s="41"/>
      <c r="I624" s="85">
        <f t="shared" si="27"/>
        <v>45481</v>
      </c>
      <c r="J624" s="47">
        <v>17.635000000000002</v>
      </c>
      <c r="K624" s="8">
        <f t="shared" si="29"/>
        <v>-1.9733185102834738E-2</v>
      </c>
      <c r="P624" s="86">
        <v>595</v>
      </c>
      <c r="Q624" s="86">
        <v>-1.0605758608033743E-2</v>
      </c>
      <c r="R624" s="86">
        <v>-1.4304107009796526E-2</v>
      </c>
    </row>
    <row r="625" spans="2:18">
      <c r="B625" s="85">
        <v>45482</v>
      </c>
      <c r="C625" s="47">
        <v>24433.199218999998</v>
      </c>
      <c r="D625" s="8">
        <f t="shared" si="28"/>
        <v>4.6318210066196826E-3</v>
      </c>
      <c r="E625" s="41"/>
      <c r="F625" s="41"/>
      <c r="I625" s="85">
        <f t="shared" si="27"/>
        <v>45482</v>
      </c>
      <c r="J625" s="47">
        <v>17.299999</v>
      </c>
      <c r="K625" s="8">
        <f t="shared" si="29"/>
        <v>-1.8996370853416607E-2</v>
      </c>
      <c r="P625" s="86">
        <v>596</v>
      </c>
      <c r="Q625" s="86">
        <v>5.0671582144191183E-3</v>
      </c>
      <c r="R625" s="86">
        <v>3.9974858592303569E-2</v>
      </c>
    </row>
    <row r="626" spans="2:18">
      <c r="B626" s="85">
        <v>45483</v>
      </c>
      <c r="C626" s="47">
        <v>24324.449218999998</v>
      </c>
      <c r="D626" s="8">
        <f t="shared" si="28"/>
        <v>-4.4509111977212015E-3</v>
      </c>
      <c r="E626" s="41"/>
      <c r="F626" s="41"/>
      <c r="I626" s="85">
        <f t="shared" si="27"/>
        <v>45483</v>
      </c>
      <c r="J626" s="47">
        <v>17.82</v>
      </c>
      <c r="K626" s="8">
        <f t="shared" si="29"/>
        <v>3.0057863009125066E-2</v>
      </c>
      <c r="P626" s="86">
        <v>597</v>
      </c>
      <c r="Q626" s="86">
        <v>8.9478157920343845E-4</v>
      </c>
      <c r="R626" s="86">
        <v>-2.5148791564603816E-4</v>
      </c>
    </row>
    <row r="627" spans="2:18">
      <c r="B627" s="85">
        <v>45484</v>
      </c>
      <c r="C627" s="47">
        <v>24315.949218999998</v>
      </c>
      <c r="D627" s="8">
        <f t="shared" si="28"/>
        <v>-3.4944265021057868E-4</v>
      </c>
      <c r="E627" s="41"/>
      <c r="F627" s="41"/>
      <c r="I627" s="85">
        <f t="shared" si="27"/>
        <v>45484</v>
      </c>
      <c r="J627" s="47">
        <v>17.98</v>
      </c>
      <c r="K627" s="8">
        <f t="shared" si="29"/>
        <v>8.9786756453423197E-3</v>
      </c>
      <c r="P627" s="86">
        <v>598</v>
      </c>
      <c r="Q627" s="86">
        <v>2.860162908458527E-3</v>
      </c>
      <c r="R627" s="86">
        <v>-2.8864249701520154E-4</v>
      </c>
    </row>
    <row r="628" spans="2:18">
      <c r="B628" s="85">
        <v>45485</v>
      </c>
      <c r="C628" s="47">
        <v>24502.150390999999</v>
      </c>
      <c r="D628" s="8">
        <f t="shared" si="28"/>
        <v>7.657573649418015E-3</v>
      </c>
      <c r="E628" s="41"/>
      <c r="F628" s="41"/>
      <c r="I628" s="85">
        <f t="shared" si="27"/>
        <v>45485</v>
      </c>
      <c r="J628" s="47">
        <v>17.700001</v>
      </c>
      <c r="K628" s="8">
        <f t="shared" si="29"/>
        <v>-1.5572803114571753E-2</v>
      </c>
      <c r="P628" s="86">
        <v>599</v>
      </c>
      <c r="Q628" s="86">
        <v>-8.285688827517028E-4</v>
      </c>
      <c r="R628" s="86">
        <v>4.0347247019244456E-3</v>
      </c>
    </row>
    <row r="629" spans="2:18">
      <c r="B629" s="85">
        <v>45488</v>
      </c>
      <c r="C629" s="47">
        <v>24586.699218999998</v>
      </c>
      <c r="D629" s="8">
        <f t="shared" si="28"/>
        <v>3.4506697024868104E-3</v>
      </c>
      <c r="E629" s="41"/>
      <c r="F629" s="41"/>
      <c r="I629" s="85">
        <f t="shared" si="27"/>
        <v>45488</v>
      </c>
      <c r="J629" s="47">
        <v>17.684999000000001</v>
      </c>
      <c r="K629" s="8">
        <f t="shared" si="29"/>
        <v>-8.475705735835309E-4</v>
      </c>
      <c r="P629" s="86">
        <v>600</v>
      </c>
      <c r="Q629" s="86">
        <v>-5.6343375251665414E-4</v>
      </c>
      <c r="R629" s="86">
        <v>9.4203638290707825E-2</v>
      </c>
    </row>
    <row r="630" spans="2:18">
      <c r="B630" s="85">
        <v>45489</v>
      </c>
      <c r="C630" s="47">
        <v>24613</v>
      </c>
      <c r="D630" s="8">
        <f t="shared" si="28"/>
        <v>1.0697158152761367E-3</v>
      </c>
      <c r="E630" s="41"/>
      <c r="F630" s="41"/>
      <c r="I630" s="85">
        <f t="shared" si="27"/>
        <v>45489</v>
      </c>
      <c r="J630" s="47">
        <v>16.795000000000002</v>
      </c>
      <c r="K630" s="8">
        <f t="shared" si="29"/>
        <v>-5.0325080595141652E-2</v>
      </c>
      <c r="P630" s="86">
        <v>601</v>
      </c>
      <c r="Q630" s="86">
        <v>-1.8317592777153705E-4</v>
      </c>
      <c r="R630" s="86">
        <v>-3.0208464610414321E-2</v>
      </c>
    </row>
    <row r="631" spans="2:18">
      <c r="B631" s="85">
        <v>45491</v>
      </c>
      <c r="C631" s="47">
        <v>24800.849609000001</v>
      </c>
      <c r="D631" s="8">
        <f t="shared" si="28"/>
        <v>7.6321297281924504E-3</v>
      </c>
      <c r="E631" s="41"/>
      <c r="F631" s="41"/>
      <c r="I631" s="85">
        <f t="shared" si="27"/>
        <v>45491</v>
      </c>
      <c r="J631" s="47">
        <v>16.780000999999999</v>
      </c>
      <c r="K631" s="8">
        <f t="shared" si="29"/>
        <v>-8.9306341172986552E-4</v>
      </c>
      <c r="P631" s="86">
        <v>602</v>
      </c>
      <c r="Q631" s="86">
        <v>-5.5120131756995153E-5</v>
      </c>
      <c r="R631" s="86">
        <v>3.1399363651949917E-2</v>
      </c>
    </row>
    <row r="632" spans="2:18">
      <c r="B632" s="85">
        <v>45492</v>
      </c>
      <c r="C632" s="47">
        <v>24530.900390999999</v>
      </c>
      <c r="D632" s="8">
        <f t="shared" si="28"/>
        <v>-1.0884676221012989E-2</v>
      </c>
      <c r="E632" s="41"/>
      <c r="F632" s="41"/>
      <c r="I632" s="85">
        <f t="shared" si="27"/>
        <v>45492</v>
      </c>
      <c r="J632" s="47">
        <v>16.035</v>
      </c>
      <c r="K632" s="8">
        <f t="shared" si="29"/>
        <v>-4.439814991667751E-2</v>
      </c>
      <c r="P632" s="86">
        <v>603</v>
      </c>
      <c r="Q632" s="86">
        <v>-1.2359739434602006E-4</v>
      </c>
      <c r="R632" s="86">
        <v>5.213990060788759E-2</v>
      </c>
    </row>
    <row r="633" spans="2:18">
      <c r="B633" s="85">
        <v>45495</v>
      </c>
      <c r="C633" s="47">
        <v>24509.25</v>
      </c>
      <c r="D633" s="8">
        <f t="shared" si="28"/>
        <v>-8.8257628765809205E-4</v>
      </c>
      <c r="E633" s="41"/>
      <c r="F633" s="41"/>
      <c r="I633" s="85">
        <f t="shared" si="27"/>
        <v>45495</v>
      </c>
      <c r="J633" s="47">
        <v>15.505000000000001</v>
      </c>
      <c r="K633" s="8">
        <f t="shared" si="29"/>
        <v>-3.3052697224820668E-2</v>
      </c>
      <c r="P633" s="86">
        <v>604</v>
      </c>
      <c r="Q633" s="86">
        <v>5.9064641243448046E-5</v>
      </c>
      <c r="R633" s="86">
        <v>1.4385379803201082E-2</v>
      </c>
    </row>
    <row r="634" spans="2:18">
      <c r="B634" s="85">
        <v>45496</v>
      </c>
      <c r="C634" s="47">
        <v>24479.050781000002</v>
      </c>
      <c r="D634" s="8">
        <f t="shared" si="28"/>
        <v>-1.2321559819251208E-3</v>
      </c>
      <c r="E634" s="41"/>
      <c r="F634" s="41"/>
      <c r="I634" s="85">
        <f t="shared" si="27"/>
        <v>45496</v>
      </c>
      <c r="J634" s="47">
        <v>16.010000000000002</v>
      </c>
      <c r="K634" s="8">
        <f t="shared" si="29"/>
        <v>3.2570138664946839E-2</v>
      </c>
      <c r="P634" s="86">
        <v>605</v>
      </c>
      <c r="Q634" s="86">
        <v>-9.0441779523617945E-4</v>
      </c>
      <c r="R634" s="86">
        <v>-1.3882000605640222E-2</v>
      </c>
    </row>
    <row r="635" spans="2:18">
      <c r="B635" s="85">
        <v>45497</v>
      </c>
      <c r="C635" s="47">
        <v>24413.5</v>
      </c>
      <c r="D635" s="8">
        <f t="shared" si="28"/>
        <v>-2.677831815720589E-3</v>
      </c>
      <c r="E635" s="41"/>
      <c r="F635" s="41"/>
      <c r="I635" s="85">
        <f t="shared" si="27"/>
        <v>45497</v>
      </c>
      <c r="J635" s="47">
        <v>16.110001</v>
      </c>
      <c r="K635" s="8">
        <f t="shared" si="29"/>
        <v>6.2461586508431536E-3</v>
      </c>
      <c r="P635" s="86">
        <v>606</v>
      </c>
      <c r="Q635" s="86">
        <v>-2.3859861585352835E-4</v>
      </c>
      <c r="R635" s="86">
        <v>1.4413195614185938E-2</v>
      </c>
    </row>
    <row r="636" spans="2:18">
      <c r="B636" s="85">
        <v>45498</v>
      </c>
      <c r="C636" s="47">
        <v>24406.099609000001</v>
      </c>
      <c r="D636" s="8">
        <f t="shared" si="28"/>
        <v>-3.0312699940603425E-4</v>
      </c>
      <c r="E636" s="41"/>
      <c r="F636" s="41"/>
      <c r="I636" s="85">
        <f t="shared" si="27"/>
        <v>45498</v>
      </c>
      <c r="J636" s="47">
        <v>16.02</v>
      </c>
      <c r="K636" s="8">
        <f t="shared" si="29"/>
        <v>-5.5866539052356907E-3</v>
      </c>
      <c r="P636" s="86">
        <v>607</v>
      </c>
      <c r="Q636" s="86">
        <v>-1.0760760570593889E-3</v>
      </c>
      <c r="R636" s="86">
        <v>-7.6935589788607872E-3</v>
      </c>
    </row>
    <row r="637" spans="2:18">
      <c r="B637" s="85">
        <v>45499</v>
      </c>
      <c r="C637" s="47">
        <v>24834.849609000001</v>
      </c>
      <c r="D637" s="8">
        <f t="shared" si="28"/>
        <v>1.7567329760544533E-2</v>
      </c>
      <c r="E637" s="41"/>
      <c r="F637" s="41"/>
      <c r="I637" s="85">
        <f t="shared" si="27"/>
        <v>45499</v>
      </c>
      <c r="J637" s="47">
        <v>16.450001</v>
      </c>
      <c r="K637" s="8">
        <f t="shared" si="29"/>
        <v>2.6841510611735377E-2</v>
      </c>
      <c r="P637" s="86">
        <v>608</v>
      </c>
      <c r="Q637" s="86">
        <v>-3.4064354897090802E-4</v>
      </c>
      <c r="R637" s="86">
        <v>-5.1062345193245748E-2</v>
      </c>
    </row>
    <row r="638" spans="2:18">
      <c r="B638" s="51"/>
      <c r="C638" s="47"/>
      <c r="D638" s="8"/>
      <c r="E638" s="41"/>
      <c r="F638" s="41"/>
      <c r="P638" s="86">
        <v>609</v>
      </c>
      <c r="Q638" s="86">
        <v>7.1022254310218111E-4</v>
      </c>
      <c r="R638" s="86">
        <v>-3.1839660506767539E-3</v>
      </c>
    </row>
    <row r="639" spans="2:18">
      <c r="B639" s="51"/>
      <c r="C639" s="47"/>
      <c r="D639" s="8"/>
      <c r="E639" s="41"/>
      <c r="F639" s="41"/>
      <c r="P639" s="86">
        <v>610</v>
      </c>
      <c r="Q639" s="86">
        <v>4.4441776172369108E-4</v>
      </c>
      <c r="R639" s="86">
        <v>-9.9569656609958682E-4</v>
      </c>
    </row>
    <row r="640" spans="2:18">
      <c r="B640" s="51"/>
      <c r="C640" s="47"/>
      <c r="D640" s="8"/>
      <c r="E640" s="41"/>
      <c r="F640" s="41"/>
      <c r="P640" s="86">
        <v>611</v>
      </c>
      <c r="Q640" s="86">
        <v>6.3721342941470375E-4</v>
      </c>
      <c r="R640" s="86">
        <v>4.0500132347823202E-3</v>
      </c>
    </row>
    <row r="641" spans="2:18">
      <c r="B641" s="51"/>
      <c r="C641" s="47"/>
      <c r="D641" s="8"/>
      <c r="E641" s="41"/>
      <c r="F641" s="41"/>
      <c r="P641" s="86">
        <v>612</v>
      </c>
      <c r="Q641" s="86">
        <v>-8.4222545839565763E-4</v>
      </c>
      <c r="R641" s="86">
        <v>2.6912380894323355E-2</v>
      </c>
    </row>
    <row r="642" spans="2:18">
      <c r="B642" s="51"/>
      <c r="C642" s="47"/>
      <c r="D642" s="8"/>
      <c r="E642" s="41"/>
      <c r="F642" s="41"/>
      <c r="P642" s="86">
        <v>613</v>
      </c>
      <c r="Q642" s="86">
        <v>3.1832378966460283E-4</v>
      </c>
      <c r="R642" s="86">
        <v>5.5311514206806842E-2</v>
      </c>
    </row>
    <row r="643" spans="2:18">
      <c r="B643" s="51"/>
      <c r="C643" s="47"/>
      <c r="D643" s="8"/>
      <c r="E643" s="41"/>
      <c r="F643" s="41"/>
      <c r="P643" s="86">
        <v>614</v>
      </c>
      <c r="Q643" s="86">
        <v>-7.308685932954789E-4</v>
      </c>
      <c r="R643" s="86">
        <v>9.1929778457929493E-3</v>
      </c>
    </row>
    <row r="644" spans="2:18">
      <c r="B644" s="51"/>
      <c r="C644" s="47"/>
      <c r="D644" s="8"/>
      <c r="E644" s="41"/>
      <c r="F644" s="41"/>
      <c r="P644" s="86">
        <v>615</v>
      </c>
      <c r="Q644" s="86">
        <v>5.3284841840504124E-4</v>
      </c>
      <c r="R644" s="86">
        <v>2.6637418852709692E-3</v>
      </c>
    </row>
    <row r="645" spans="2:18">
      <c r="B645" s="51"/>
      <c r="C645" s="47"/>
      <c r="D645" s="8"/>
      <c r="E645" s="41"/>
      <c r="F645" s="41"/>
      <c r="P645" s="86">
        <v>616</v>
      </c>
      <c r="Q645" s="86">
        <v>-4.9571485070444793E-4</v>
      </c>
      <c r="R645" s="86">
        <v>-6.408108834903517E-3</v>
      </c>
    </row>
    <row r="646" spans="2:18">
      <c r="B646" s="51"/>
      <c r="C646" s="47"/>
      <c r="D646" s="8"/>
      <c r="E646" s="41"/>
      <c r="F646" s="41"/>
      <c r="P646" s="86">
        <v>617</v>
      </c>
      <c r="Q646" s="86">
        <v>-4.5380148890642905E-4</v>
      </c>
      <c r="R646" s="86">
        <v>-3.7514164395159671E-2</v>
      </c>
    </row>
    <row r="647" spans="2:18">
      <c r="B647" s="51"/>
      <c r="C647" s="47"/>
      <c r="D647" s="8"/>
      <c r="E647" s="41"/>
      <c r="F647" s="41"/>
      <c r="P647" s="86">
        <v>618</v>
      </c>
      <c r="Q647" s="86">
        <v>-6.2728610524454627E-4</v>
      </c>
      <c r="R647" s="86">
        <v>-1.9105898997590191E-2</v>
      </c>
    </row>
    <row r="648" spans="2:18">
      <c r="B648" s="51"/>
      <c r="C648" s="47"/>
      <c r="D648" s="8"/>
      <c r="E648" s="41"/>
      <c r="F648" s="41"/>
      <c r="P648" s="86">
        <v>619</v>
      </c>
      <c r="Q648" s="86">
        <v>1.7686223869851903E-4</v>
      </c>
      <c r="R648" s="86">
        <v>-1.9173233092115126E-2</v>
      </c>
    </row>
    <row r="649" spans="2:18">
      <c r="B649" s="51"/>
      <c r="C649" s="47"/>
      <c r="D649" s="8"/>
      <c r="E649" s="41"/>
      <c r="F649" s="41"/>
      <c r="P649" s="86">
        <v>620</v>
      </c>
      <c r="Q649" s="86">
        <v>-1.3551676946282573E-3</v>
      </c>
      <c r="R649" s="86">
        <v>3.1413030703753321E-2</v>
      </c>
    </row>
    <row r="650" spans="2:18">
      <c r="B650" s="51"/>
      <c r="C650" s="47"/>
      <c r="D650" s="8"/>
      <c r="E650" s="41"/>
      <c r="F650" s="41"/>
      <c r="P650" s="86">
        <v>621</v>
      </c>
      <c r="Q650" s="86">
        <v>-6.6335245181162108E-4</v>
      </c>
      <c r="R650" s="86">
        <v>9.6420280971539415E-3</v>
      </c>
    </row>
    <row r="651" spans="2:18">
      <c r="B651" s="51"/>
      <c r="C651" s="47"/>
      <c r="D651" s="8"/>
      <c r="E651" s="41"/>
      <c r="F651" s="41"/>
      <c r="P651" s="86">
        <v>622</v>
      </c>
      <c r="Q651" s="86">
        <v>6.8723109195989701E-4</v>
      </c>
      <c r="R651" s="86">
        <v>-1.6260034206531649E-2</v>
      </c>
    </row>
    <row r="652" spans="2:18">
      <c r="B652" s="51"/>
      <c r="C652" s="47"/>
      <c r="D652" s="8"/>
      <c r="E652" s="41"/>
      <c r="F652" s="41"/>
      <c r="P652" s="86">
        <v>623</v>
      </c>
      <c r="Q652" s="86">
        <v>-2.2368467768273158E-5</v>
      </c>
      <c r="R652" s="86">
        <v>-8.2520210581525774E-4</v>
      </c>
    </row>
    <row r="653" spans="2:18">
      <c r="B653" s="51"/>
      <c r="C653" s="47"/>
      <c r="D653" s="8"/>
      <c r="E653" s="41"/>
      <c r="F653" s="41"/>
      <c r="P653" s="86">
        <v>624</v>
      </c>
      <c r="Q653" s="86">
        <v>-4.2397588533962533E-4</v>
      </c>
      <c r="R653" s="86">
        <v>-4.9901104709802024E-2</v>
      </c>
    </row>
    <row r="654" spans="2:18">
      <c r="B654" s="51"/>
      <c r="C654" s="47"/>
      <c r="D654" s="8"/>
      <c r="E654" s="41"/>
      <c r="F654" s="41"/>
      <c r="P654" s="86">
        <v>625</v>
      </c>
      <c r="Q654" s="86">
        <v>6.8293933832654183E-4</v>
      </c>
      <c r="R654" s="86">
        <v>-1.5760027500564074E-3</v>
      </c>
    </row>
    <row r="655" spans="2:18">
      <c r="B655" s="51"/>
      <c r="C655" s="47"/>
      <c r="D655" s="8"/>
      <c r="E655" s="41"/>
      <c r="F655" s="41"/>
      <c r="P655" s="86">
        <v>626</v>
      </c>
      <c r="Q655" s="86">
        <v>-2.4403830657214473E-3</v>
      </c>
      <c r="R655" s="86">
        <v>-4.1957766850956063E-2</v>
      </c>
    </row>
    <row r="656" spans="2:18">
      <c r="B656" s="51"/>
      <c r="C656" s="47"/>
      <c r="D656" s="8"/>
      <c r="E656" s="41"/>
      <c r="F656" s="41"/>
      <c r="P656" s="86">
        <v>627</v>
      </c>
      <c r="Q656" s="86">
        <v>-7.5327877273107045E-4</v>
      </c>
      <c r="R656" s="86">
        <v>-3.2299418452089598E-2</v>
      </c>
    </row>
    <row r="657" spans="2:18">
      <c r="B657" s="51"/>
      <c r="C657" s="47"/>
      <c r="D657" s="8"/>
      <c r="E657" s="41"/>
      <c r="F657" s="41"/>
      <c r="P657" s="86">
        <v>628</v>
      </c>
      <c r="Q657" s="86">
        <v>-8.1224413069289048E-4</v>
      </c>
      <c r="R657" s="86">
        <v>3.338238279563973E-2</v>
      </c>
    </row>
    <row r="658" spans="2:18">
      <c r="B658" s="51"/>
      <c r="C658" s="47"/>
      <c r="D658" s="8"/>
      <c r="E658" s="41"/>
      <c r="F658" s="41"/>
      <c r="P658" s="86">
        <v>629</v>
      </c>
      <c r="Q658" s="86">
        <v>-1.0560935144943067E-3</v>
      </c>
      <c r="R658" s="86">
        <v>7.3022521653374603E-3</v>
      </c>
    </row>
    <row r="659" spans="2:18">
      <c r="B659" s="51"/>
      <c r="C659" s="47"/>
      <c r="D659" s="8"/>
      <c r="E659" s="41"/>
      <c r="F659" s="41"/>
      <c r="P659" s="86">
        <v>630</v>
      </c>
      <c r="Q659" s="86">
        <v>-6.5554015901054521E-4</v>
      </c>
      <c r="R659" s="86">
        <v>-4.931113746225145E-3</v>
      </c>
    </row>
    <row r="660" spans="2:18" ht="16.5" thickBot="1">
      <c r="B660" s="51"/>
      <c r="C660" s="47"/>
      <c r="D660" s="8"/>
      <c r="E660" s="41"/>
      <c r="F660" s="41"/>
      <c r="P660" s="87">
        <v>631</v>
      </c>
      <c r="Q660" s="87">
        <v>2.3587592899351564E-3</v>
      </c>
      <c r="R660" s="87">
        <v>2.4482751321800219E-2</v>
      </c>
    </row>
    <row r="661" spans="2:18">
      <c r="B661" s="51"/>
      <c r="C661" s="47"/>
      <c r="D661" s="8"/>
      <c r="E661" s="41"/>
      <c r="F661" s="41"/>
    </row>
    <row r="662" spans="2:18">
      <c r="B662" s="51"/>
      <c r="C662" s="47"/>
      <c r="D662" s="8"/>
      <c r="E662" s="41"/>
      <c r="F662" s="41"/>
    </row>
    <row r="663" spans="2:18">
      <c r="B663" s="51"/>
      <c r="C663" s="47"/>
      <c r="D663" s="8"/>
      <c r="E663" s="41"/>
      <c r="F663" s="41"/>
    </row>
    <row r="664" spans="2:18">
      <c r="B664" s="51"/>
      <c r="C664" s="47"/>
      <c r="D664" s="8"/>
      <c r="E664" s="41"/>
      <c r="F664" s="41"/>
    </row>
    <row r="665" spans="2:18">
      <c r="B665" s="51"/>
      <c r="C665" s="47"/>
      <c r="D665" s="8"/>
      <c r="E665" s="41"/>
      <c r="F665" s="41"/>
    </row>
    <row r="666" spans="2:18">
      <c r="B666" s="51"/>
      <c r="C666" s="47"/>
      <c r="D666" s="8"/>
      <c r="E666" s="41"/>
      <c r="F666" s="41"/>
    </row>
    <row r="667" spans="2:18">
      <c r="B667" s="51"/>
      <c r="C667" s="47"/>
      <c r="D667" s="8"/>
      <c r="E667" s="41"/>
      <c r="F667" s="41"/>
    </row>
    <row r="668" spans="2:18">
      <c r="B668" s="51"/>
      <c r="C668" s="47"/>
      <c r="D668" s="8"/>
      <c r="E668" s="41"/>
      <c r="F668" s="41"/>
    </row>
    <row r="669" spans="2:18">
      <c r="B669" s="51"/>
      <c r="C669" s="47"/>
      <c r="D669" s="8"/>
      <c r="E669" s="41"/>
      <c r="F669" s="41"/>
    </row>
    <row r="670" spans="2:18">
      <c r="B670" s="51"/>
      <c r="C670" s="47"/>
      <c r="D670" s="8"/>
      <c r="E670" s="41"/>
      <c r="F670" s="41"/>
    </row>
    <row r="671" spans="2:18">
      <c r="B671" s="51"/>
      <c r="C671" s="47"/>
      <c r="D671" s="8"/>
      <c r="E671" s="41"/>
      <c r="F671" s="41"/>
    </row>
    <row r="672" spans="2:18">
      <c r="B672" s="51"/>
      <c r="C672" s="47"/>
      <c r="D672" s="8"/>
      <c r="E672" s="41"/>
      <c r="F672" s="41"/>
    </row>
    <row r="673" spans="2:6">
      <c r="B673" s="51"/>
      <c r="C673" s="47"/>
      <c r="D673" s="8"/>
      <c r="E673" s="41"/>
      <c r="F673" s="41"/>
    </row>
    <row r="674" spans="2:6">
      <c r="B674" s="51"/>
      <c r="C674" s="47"/>
      <c r="D674" s="8"/>
      <c r="E674" s="41"/>
      <c r="F674" s="41"/>
    </row>
    <row r="675" spans="2:6">
      <c r="B675" s="51"/>
      <c r="C675" s="47"/>
      <c r="D675" s="8"/>
      <c r="E675" s="41"/>
      <c r="F675" s="41"/>
    </row>
    <row r="676" spans="2:6">
      <c r="B676" s="51"/>
      <c r="C676" s="47"/>
      <c r="D676" s="8"/>
      <c r="E676" s="41"/>
      <c r="F676" s="41"/>
    </row>
    <row r="677" spans="2:6">
      <c r="B677" s="51"/>
      <c r="C677" s="47"/>
      <c r="D677" s="8"/>
      <c r="E677" s="41"/>
      <c r="F677" s="41"/>
    </row>
    <row r="678" spans="2:6">
      <c r="B678" s="51"/>
      <c r="C678" s="47"/>
      <c r="D678" s="8"/>
      <c r="E678" s="41"/>
      <c r="F678" s="41"/>
    </row>
    <row r="679" spans="2:6">
      <c r="B679" s="51"/>
      <c r="C679" s="47"/>
      <c r="D679" s="8"/>
      <c r="E679" s="41"/>
      <c r="F679" s="41"/>
    </row>
    <row r="680" spans="2:6">
      <c r="B680" s="51"/>
      <c r="C680" s="47"/>
      <c r="D680" s="8"/>
      <c r="E680" s="41"/>
      <c r="F680" s="41"/>
    </row>
    <row r="681" spans="2:6">
      <c r="B681" s="51"/>
      <c r="C681" s="47"/>
      <c r="D681" s="8"/>
      <c r="E681" s="41"/>
      <c r="F681" s="41"/>
    </row>
    <row r="682" spans="2:6">
      <c r="B682" s="51"/>
      <c r="C682" s="47"/>
      <c r="D682" s="8"/>
      <c r="E682" s="41"/>
      <c r="F682" s="41"/>
    </row>
    <row r="683" spans="2:6">
      <c r="B683" s="51"/>
      <c r="C683" s="47"/>
      <c r="D683" s="8"/>
      <c r="E683" s="41"/>
      <c r="F683" s="41"/>
    </row>
    <row r="684" spans="2:6">
      <c r="B684" s="51"/>
      <c r="C684" s="47"/>
      <c r="D684" s="8"/>
      <c r="E684" s="41"/>
      <c r="F684" s="41"/>
    </row>
    <row r="685" spans="2:6">
      <c r="B685" s="51"/>
      <c r="C685" s="47"/>
      <c r="D685" s="8"/>
      <c r="E685" s="41"/>
      <c r="F685" s="41"/>
    </row>
    <row r="686" spans="2:6">
      <c r="B686" s="51"/>
      <c r="C686" s="47"/>
      <c r="D686" s="8"/>
      <c r="E686" s="41"/>
      <c r="F686" s="41"/>
    </row>
    <row r="687" spans="2:6">
      <c r="B687" s="51"/>
      <c r="C687" s="47"/>
      <c r="D687" s="8"/>
      <c r="E687" s="41"/>
      <c r="F687" s="41"/>
    </row>
    <row r="688" spans="2:6">
      <c r="B688" s="51"/>
      <c r="C688" s="47"/>
      <c r="D688" s="8"/>
      <c r="E688" s="41"/>
      <c r="F688" s="41"/>
    </row>
    <row r="689" spans="2:6">
      <c r="B689" s="51"/>
      <c r="C689" s="47"/>
      <c r="D689" s="8"/>
      <c r="E689" s="41"/>
      <c r="F689" s="41"/>
    </row>
    <row r="690" spans="2:6">
      <c r="B690" s="51"/>
      <c r="C690" s="47"/>
      <c r="D690" s="8"/>
      <c r="E690" s="41"/>
      <c r="F690" s="41"/>
    </row>
    <row r="691" spans="2:6">
      <c r="B691" s="51"/>
      <c r="C691" s="47"/>
      <c r="D691" s="8"/>
      <c r="E691" s="41"/>
      <c r="F691" s="41"/>
    </row>
    <row r="692" spans="2:6">
      <c r="B692" s="51"/>
      <c r="C692" s="47"/>
      <c r="D692" s="8"/>
      <c r="E692" s="41"/>
      <c r="F692" s="41"/>
    </row>
    <row r="693" spans="2:6">
      <c r="B693" s="51"/>
      <c r="C693" s="47"/>
      <c r="D693" s="8"/>
      <c r="E693" s="41"/>
      <c r="F693" s="41"/>
    </row>
    <row r="694" spans="2:6">
      <c r="B694" s="51"/>
      <c r="C694" s="47"/>
      <c r="D694" s="8"/>
      <c r="E694" s="41"/>
      <c r="F694" s="41"/>
    </row>
    <row r="695" spans="2:6">
      <c r="B695" s="51"/>
      <c r="C695" s="47"/>
      <c r="D695" s="8"/>
      <c r="E695" s="41"/>
      <c r="F695" s="41"/>
    </row>
    <row r="696" spans="2:6">
      <c r="B696" s="51"/>
      <c r="C696" s="47"/>
      <c r="D696" s="8"/>
      <c r="E696" s="41"/>
      <c r="F696" s="41"/>
    </row>
    <row r="697" spans="2:6">
      <c r="B697" s="51"/>
      <c r="C697" s="47"/>
      <c r="D697" s="8"/>
      <c r="E697" s="41"/>
      <c r="F697" s="41"/>
    </row>
    <row r="698" spans="2:6">
      <c r="B698" s="51"/>
      <c r="C698" s="47"/>
      <c r="D698" s="8"/>
      <c r="E698" s="41"/>
      <c r="F698" s="41"/>
    </row>
    <row r="699" spans="2:6">
      <c r="B699" s="51"/>
      <c r="C699" s="47"/>
      <c r="D699" s="8"/>
      <c r="E699" s="41"/>
      <c r="F699" s="41"/>
    </row>
    <row r="700" spans="2:6">
      <c r="B700" s="51"/>
      <c r="C700" s="47"/>
      <c r="D700" s="8"/>
      <c r="E700" s="41"/>
      <c r="F700" s="41"/>
    </row>
    <row r="701" spans="2:6">
      <c r="B701" s="51"/>
      <c r="C701" s="47"/>
      <c r="D701" s="8"/>
      <c r="E701" s="41"/>
      <c r="F701" s="41"/>
    </row>
    <row r="702" spans="2:6">
      <c r="B702" s="51"/>
      <c r="C702" s="47"/>
      <c r="D702" s="8"/>
      <c r="E702" s="41"/>
      <c r="F702" s="41"/>
    </row>
    <row r="703" spans="2:6">
      <c r="B703" s="51"/>
      <c r="C703" s="47"/>
      <c r="D703" s="8"/>
      <c r="E703" s="41"/>
      <c r="F703" s="41"/>
    </row>
    <row r="704" spans="2:6">
      <c r="B704" s="51"/>
      <c r="C704" s="47"/>
      <c r="D704" s="8"/>
      <c r="E704" s="41"/>
      <c r="F704" s="41"/>
    </row>
    <row r="705" spans="2:6">
      <c r="B705" s="51"/>
      <c r="C705" s="47"/>
      <c r="D705" s="8"/>
      <c r="E705" s="41"/>
      <c r="F705" s="41"/>
    </row>
    <row r="706" spans="2:6">
      <c r="B706" s="51"/>
      <c r="C706" s="47"/>
      <c r="D706" s="8"/>
      <c r="E706" s="41"/>
      <c r="F706" s="41"/>
    </row>
    <row r="707" spans="2:6">
      <c r="B707" s="51"/>
      <c r="C707" s="47"/>
      <c r="D707" s="8"/>
      <c r="E707" s="41"/>
      <c r="F707" s="41"/>
    </row>
    <row r="708" spans="2:6">
      <c r="B708" s="51"/>
      <c r="C708" s="47"/>
      <c r="D708" s="8"/>
      <c r="E708" s="41"/>
      <c r="F708" s="41"/>
    </row>
    <row r="709" spans="2:6">
      <c r="B709" s="51"/>
      <c r="C709" s="47"/>
      <c r="D709" s="8"/>
      <c r="E709" s="41"/>
      <c r="F709" s="41"/>
    </row>
    <row r="710" spans="2:6">
      <c r="B710" s="51"/>
      <c r="C710" s="47"/>
      <c r="D710" s="8"/>
      <c r="E710" s="41"/>
      <c r="F710" s="41"/>
    </row>
    <row r="711" spans="2:6">
      <c r="B711" s="51"/>
      <c r="C711" s="47"/>
      <c r="D711" s="8"/>
      <c r="E711" s="41"/>
      <c r="F711" s="41"/>
    </row>
    <row r="712" spans="2:6">
      <c r="B712" s="51"/>
      <c r="C712" s="47"/>
      <c r="D712" s="8"/>
      <c r="E712" s="41"/>
      <c r="F712" s="41"/>
    </row>
    <row r="713" spans="2:6">
      <c r="B713" s="51"/>
      <c r="C713" s="47"/>
      <c r="D713" s="8"/>
      <c r="E713" s="41"/>
      <c r="F713" s="41"/>
    </row>
    <row r="714" spans="2:6">
      <c r="B714" s="51"/>
      <c r="C714" s="47"/>
      <c r="D714" s="8"/>
      <c r="E714" s="41"/>
      <c r="F714" s="41"/>
    </row>
    <row r="715" spans="2:6">
      <c r="B715" s="51"/>
      <c r="C715" s="47"/>
      <c r="D715" s="8"/>
      <c r="E715" s="41"/>
      <c r="F715" s="41"/>
    </row>
    <row r="716" spans="2:6">
      <c r="B716" s="51"/>
      <c r="C716" s="47"/>
      <c r="D716" s="8"/>
      <c r="E716" s="41"/>
      <c r="F716" s="41"/>
    </row>
    <row r="717" spans="2:6">
      <c r="B717" s="51"/>
      <c r="C717" s="47"/>
      <c r="D717" s="8"/>
      <c r="E717" s="41"/>
      <c r="F717" s="41"/>
    </row>
    <row r="718" spans="2:6">
      <c r="B718" s="51"/>
      <c r="C718" s="47"/>
      <c r="D718" s="8"/>
      <c r="E718" s="41"/>
      <c r="F718" s="41"/>
    </row>
    <row r="719" spans="2:6">
      <c r="B719" s="51"/>
      <c r="C719" s="47"/>
      <c r="D719" s="8"/>
      <c r="E719" s="41"/>
      <c r="F719" s="41"/>
    </row>
    <row r="720" spans="2:6">
      <c r="B720" s="51"/>
      <c r="C720" s="47"/>
      <c r="D720" s="8"/>
      <c r="E720" s="41"/>
      <c r="F720" s="41"/>
    </row>
    <row r="721" spans="2:6">
      <c r="B721" s="51"/>
      <c r="C721" s="47"/>
      <c r="D721" s="8"/>
      <c r="E721" s="41"/>
      <c r="F721" s="41"/>
    </row>
    <row r="722" spans="2:6">
      <c r="B722" s="51"/>
      <c r="C722" s="47"/>
      <c r="D722" s="8"/>
      <c r="E722" s="41"/>
      <c r="F722" s="41"/>
    </row>
    <row r="723" spans="2:6">
      <c r="B723" s="51"/>
      <c r="C723" s="47"/>
      <c r="D723" s="8"/>
      <c r="E723" s="41"/>
      <c r="F723" s="41"/>
    </row>
    <row r="724" spans="2:6">
      <c r="B724" s="51"/>
      <c r="C724" s="47"/>
      <c r="D724" s="8"/>
      <c r="E724" s="41"/>
      <c r="F724" s="41"/>
    </row>
    <row r="725" spans="2:6">
      <c r="B725" s="51"/>
      <c r="C725" s="47"/>
      <c r="D725" s="8"/>
      <c r="E725" s="41"/>
      <c r="F725" s="41"/>
    </row>
    <row r="726" spans="2:6">
      <c r="B726" s="51"/>
      <c r="C726" s="47"/>
      <c r="D726" s="8"/>
      <c r="E726" s="41"/>
      <c r="F726" s="41"/>
    </row>
    <row r="727" spans="2:6">
      <c r="B727" s="51"/>
      <c r="C727" s="47"/>
      <c r="D727" s="8"/>
      <c r="E727" s="41"/>
      <c r="F727" s="41"/>
    </row>
    <row r="728" spans="2:6">
      <c r="B728" s="51"/>
      <c r="C728" s="47"/>
      <c r="D728" s="8"/>
      <c r="E728" s="41"/>
      <c r="F728" s="41"/>
    </row>
    <row r="729" spans="2:6">
      <c r="B729" s="51"/>
      <c r="C729" s="47"/>
      <c r="D729" s="8"/>
      <c r="E729" s="41"/>
      <c r="F729" s="41"/>
    </row>
    <row r="730" spans="2:6">
      <c r="B730" s="51"/>
      <c r="C730" s="47"/>
      <c r="D730" s="8"/>
      <c r="E730" s="41"/>
      <c r="F730" s="41"/>
    </row>
    <row r="731" spans="2:6">
      <c r="B731" s="51"/>
      <c r="C731" s="47"/>
      <c r="D731" s="8"/>
      <c r="E731" s="41"/>
      <c r="F731" s="41"/>
    </row>
    <row r="732" spans="2:6">
      <c r="B732" s="51"/>
      <c r="C732" s="47"/>
      <c r="D732" s="8"/>
      <c r="E732" s="41"/>
      <c r="F732" s="41"/>
    </row>
    <row r="733" spans="2:6">
      <c r="B733" s="51"/>
      <c r="C733" s="47"/>
      <c r="D733" s="8"/>
      <c r="E733" s="41"/>
      <c r="F733" s="41"/>
    </row>
    <row r="734" spans="2:6">
      <c r="B734" s="51"/>
      <c r="C734" s="47"/>
      <c r="D734" s="8"/>
      <c r="E734" s="41"/>
      <c r="F734" s="41"/>
    </row>
    <row r="735" spans="2:6">
      <c r="B735" s="51"/>
      <c r="C735" s="47"/>
      <c r="D735" s="8"/>
      <c r="E735" s="41"/>
      <c r="F735" s="41"/>
    </row>
    <row r="736" spans="2:6">
      <c r="B736" s="51"/>
      <c r="C736" s="47"/>
      <c r="D736" s="8"/>
      <c r="E736" s="41"/>
      <c r="F736" s="41"/>
    </row>
    <row r="737" spans="2:6">
      <c r="B737" s="51"/>
      <c r="C737" s="47"/>
      <c r="D737" s="8"/>
      <c r="E737" s="41"/>
      <c r="F737" s="41"/>
    </row>
    <row r="738" spans="2:6">
      <c r="B738" s="51"/>
      <c r="C738" s="47"/>
      <c r="D738" s="8"/>
      <c r="E738" s="41"/>
      <c r="F738" s="41"/>
    </row>
    <row r="739" spans="2:6">
      <c r="B739" s="51"/>
      <c r="C739" s="47"/>
      <c r="D739" s="8"/>
      <c r="E739" s="41"/>
      <c r="F739" s="41"/>
    </row>
    <row r="740" spans="2:6">
      <c r="B740" s="51"/>
      <c r="C740" s="47"/>
      <c r="D740" s="8"/>
      <c r="E740" s="41"/>
      <c r="F740" s="41"/>
    </row>
    <row r="741" spans="2:6">
      <c r="B741" s="51"/>
      <c r="C741" s="47"/>
      <c r="D741" s="8"/>
      <c r="E741" s="41"/>
      <c r="F741" s="41"/>
    </row>
    <row r="742" spans="2:6">
      <c r="B742" s="51"/>
      <c r="C742" s="47"/>
      <c r="D742" s="8"/>
    </row>
    <row r="743" spans="2:6" ht="16.5" thickBot="1">
      <c r="B743" s="52"/>
      <c r="C743" s="53"/>
      <c r="D743" s="54"/>
    </row>
    <row r="744" spans="2:6">
      <c r="B744" s="51"/>
      <c r="C744" s="47"/>
      <c r="D744" s="8"/>
    </row>
    <row r="745" spans="2:6">
      <c r="B745" s="51"/>
      <c r="C745" s="47"/>
      <c r="D745" s="16"/>
    </row>
    <row r="746" spans="2:6">
      <c r="B746" s="5"/>
      <c r="C746" s="4"/>
      <c r="D746" s="8"/>
    </row>
    <row r="747" spans="2:6">
      <c r="B747" s="5"/>
      <c r="C747" s="4"/>
      <c r="D747" s="8"/>
    </row>
    <row r="748" spans="2:6">
      <c r="B748" s="5"/>
      <c r="C748" s="4"/>
      <c r="D748" s="8"/>
    </row>
    <row r="749" spans="2:6">
      <c r="B749" s="5"/>
      <c r="C749" s="4"/>
      <c r="D749" s="8"/>
    </row>
    <row r="750" spans="2:6">
      <c r="B750" s="5"/>
      <c r="C750" s="4"/>
      <c r="D750" s="8"/>
    </row>
    <row r="751" spans="2:6">
      <c r="B751" s="5"/>
      <c r="C751" s="4"/>
      <c r="D751" s="8"/>
    </row>
    <row r="752" spans="2:6">
      <c r="B752" s="5"/>
      <c r="C752" s="4"/>
      <c r="D752" s="8"/>
    </row>
    <row r="753" spans="2:4">
      <c r="B753" s="5"/>
      <c r="C753" s="4"/>
      <c r="D753" s="8"/>
    </row>
    <row r="754" spans="2:4">
      <c r="B754" s="5"/>
      <c r="C754" s="4"/>
      <c r="D754" s="8"/>
    </row>
    <row r="755" spans="2:4">
      <c r="B755" s="5"/>
      <c r="C755" s="4"/>
      <c r="D755" s="8"/>
    </row>
    <row r="756" spans="2:4">
      <c r="B756" s="5"/>
      <c r="C756" s="4"/>
      <c r="D756" s="8"/>
    </row>
    <row r="757" spans="2:4">
      <c r="B757" s="5"/>
      <c r="C757" s="4"/>
      <c r="D757" s="8"/>
    </row>
    <row r="758" spans="2:4">
      <c r="B758" s="5"/>
      <c r="C758" s="4"/>
      <c r="D758" s="8"/>
    </row>
    <row r="759" spans="2:4">
      <c r="B759" s="5"/>
      <c r="C759" s="4"/>
      <c r="D759" s="8"/>
    </row>
    <row r="760" spans="2:4">
      <c r="B760" s="5"/>
      <c r="C760" s="4"/>
      <c r="D760" s="8"/>
    </row>
  </sheetData>
  <mergeCells count="6">
    <mergeCell ref="U4:V4"/>
    <mergeCell ref="R5:S5"/>
    <mergeCell ref="B1:D1"/>
    <mergeCell ref="B2:D2"/>
    <mergeCell ref="B4:D4"/>
    <mergeCell ref="I4:K4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2"/>
  <sheetViews>
    <sheetView topLeftCell="A4" zoomScale="70" zoomScaleNormal="70" workbookViewId="0">
      <selection activeCell="L31" sqref="L31"/>
    </sheetView>
  </sheetViews>
  <sheetFormatPr defaultColWidth="11.25" defaultRowHeight="15.75"/>
  <cols>
    <col min="1" max="1" width="2" customWidth="1"/>
    <col min="10" max="10" width="20.25" customWidth="1"/>
    <col min="11" max="11" width="19.25" customWidth="1"/>
    <col min="12" max="12" width="17.5" customWidth="1"/>
    <col min="18" max="18" width="11.75" bestFit="1" customWidth="1"/>
  </cols>
  <sheetData>
    <row r="1" spans="1:22" ht="16.149999999999999" customHeight="1">
      <c r="A1" t="s">
        <v>0</v>
      </c>
      <c r="B1" s="114" t="s">
        <v>113</v>
      </c>
      <c r="C1" s="114"/>
      <c r="D1" s="114"/>
      <c r="E1" s="114"/>
      <c r="F1" s="114"/>
      <c r="G1" s="114"/>
      <c r="H1" s="114"/>
      <c r="I1" s="114"/>
      <c r="J1" s="2"/>
      <c r="K1" s="2"/>
      <c r="L1" s="2"/>
      <c r="M1" s="2"/>
      <c r="N1" s="2"/>
      <c r="O1" s="2"/>
      <c r="P1" s="2"/>
      <c r="R1" s="113" t="s">
        <v>42</v>
      </c>
      <c r="S1" s="113"/>
      <c r="T1" s="113"/>
      <c r="U1" s="113"/>
      <c r="V1" s="113"/>
    </row>
    <row r="2" spans="1:22" ht="16.149999999999999" customHeight="1">
      <c r="B2" s="114"/>
      <c r="C2" s="114"/>
      <c r="D2" s="114"/>
      <c r="E2" s="114"/>
      <c r="F2" s="114"/>
      <c r="G2" s="114"/>
      <c r="H2" s="114"/>
      <c r="I2" s="114"/>
      <c r="J2" s="2"/>
      <c r="K2" s="2"/>
      <c r="L2" s="2"/>
      <c r="M2" s="2"/>
      <c r="N2" s="2"/>
      <c r="O2" s="2"/>
      <c r="P2" s="2"/>
    </row>
    <row r="3" spans="1:22" ht="16.149999999999999" customHeight="1">
      <c r="B3" s="114"/>
      <c r="C3" s="114"/>
      <c r="D3" s="114"/>
      <c r="E3" s="114"/>
      <c r="F3" s="114"/>
      <c r="G3" s="114"/>
      <c r="H3" s="114"/>
      <c r="I3" s="114"/>
      <c r="J3" s="2"/>
      <c r="K3" s="2"/>
      <c r="L3" s="2"/>
      <c r="M3" s="2"/>
      <c r="N3" s="2"/>
      <c r="O3" s="2"/>
      <c r="P3" s="2"/>
      <c r="R3">
        <v>2</v>
      </c>
    </row>
    <row r="4" spans="1:22">
      <c r="B4" s="114"/>
      <c r="C4" s="114"/>
      <c r="D4" s="114"/>
      <c r="E4" s="114"/>
      <c r="F4" s="114"/>
      <c r="G4" s="114"/>
      <c r="H4" s="114"/>
      <c r="I4" s="114"/>
      <c r="J4" s="2"/>
      <c r="K4" s="2"/>
      <c r="L4" s="2"/>
      <c r="M4" s="2"/>
      <c r="N4" s="2"/>
      <c r="O4" s="2"/>
      <c r="P4" s="2"/>
      <c r="R4">
        <v>3</v>
      </c>
    </row>
    <row r="5" spans="1:2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R5">
        <v>4</v>
      </c>
    </row>
    <row r="6" spans="1:2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R6">
        <v>5</v>
      </c>
      <c r="S6" s="31" t="s">
        <v>61</v>
      </c>
    </row>
    <row r="7" spans="1:22" ht="18.75">
      <c r="R7" s="23" t="s">
        <v>68</v>
      </c>
      <c r="S7" s="23"/>
      <c r="T7" s="23"/>
      <c r="U7" s="23"/>
      <c r="V7" s="23"/>
    </row>
    <row r="8" spans="1:22">
      <c r="R8" t="s">
        <v>69</v>
      </c>
      <c r="S8" s="24"/>
      <c r="T8" s="24"/>
      <c r="U8" s="24"/>
      <c r="V8" s="24"/>
    </row>
    <row r="9" spans="1:22" ht="17.25">
      <c r="B9" s="21" t="s">
        <v>40</v>
      </c>
      <c r="C9" s="21"/>
      <c r="D9" s="22"/>
      <c r="E9" s="22"/>
      <c r="F9" s="22"/>
      <c r="I9" s="21" t="s">
        <v>45</v>
      </c>
      <c r="J9" s="21"/>
      <c r="K9" s="26">
        <f>7.17%</f>
        <v>7.17E-2</v>
      </c>
    </row>
    <row r="10" spans="1:22" ht="18.75">
      <c r="I10" t="s">
        <v>62</v>
      </c>
      <c r="K10">
        <f>3988.12</f>
        <v>3988.12</v>
      </c>
      <c r="M10" t="s">
        <v>117</v>
      </c>
      <c r="N10">
        <v>384291</v>
      </c>
    </row>
    <row r="11" spans="1:22" ht="18.75">
      <c r="B11" t="s">
        <v>41</v>
      </c>
      <c r="D11" s="9"/>
      <c r="F11" s="25">
        <f>K10/K11</f>
        <v>0.12211912564357109</v>
      </c>
      <c r="I11" t="s">
        <v>63</v>
      </c>
      <c r="K11">
        <f>32657.62</f>
        <v>32657.62</v>
      </c>
      <c r="M11" t="s">
        <v>118</v>
      </c>
      <c r="N11" s="47">
        <f>'Beta 2'!J637</f>
        <v>16.450001</v>
      </c>
    </row>
    <row r="12" spans="1:22" ht="18.75">
      <c r="B12" t="s">
        <v>44</v>
      </c>
      <c r="D12" s="9"/>
      <c r="F12" s="25">
        <v>0.3</v>
      </c>
      <c r="N12">
        <f>N10*N11</f>
        <v>6321587.3342909999</v>
      </c>
    </row>
    <row r="13" spans="1:22">
      <c r="B13" s="20" t="s">
        <v>40</v>
      </c>
      <c r="C13" s="20"/>
      <c r="D13" s="20"/>
      <c r="E13" s="20"/>
      <c r="F13" s="28">
        <f>F11*(1-F12)</f>
        <v>8.5483387950499756E-2</v>
      </c>
    </row>
    <row r="17" spans="2:12">
      <c r="B17" s="21" t="s">
        <v>47</v>
      </c>
      <c r="C17" s="22"/>
      <c r="D17" s="22"/>
      <c r="I17" s="32" t="s">
        <v>50</v>
      </c>
      <c r="J17" s="32"/>
      <c r="K17" s="15"/>
      <c r="L17" s="15"/>
    </row>
    <row r="18" spans="2:12">
      <c r="K18" s="33" t="s">
        <v>53</v>
      </c>
      <c r="L18" s="33" t="s">
        <v>54</v>
      </c>
    </row>
    <row r="19" spans="2:12" ht="18.75">
      <c r="B19" t="s">
        <v>48</v>
      </c>
      <c r="D19" s="9">
        <f>K9</f>
        <v>7.17E-2</v>
      </c>
      <c r="I19" t="s">
        <v>67</v>
      </c>
      <c r="J19" s="34"/>
      <c r="K19" s="39">
        <f>K11</f>
        <v>32657.62</v>
      </c>
      <c r="L19" s="9">
        <f>K19/K21</f>
        <v>5.1394965467842753E-3</v>
      </c>
    </row>
    <row r="20" spans="2:12" ht="18.75">
      <c r="B20" t="s">
        <v>66</v>
      </c>
      <c r="D20" s="25">
        <v>7.8100000000000003E-2</v>
      </c>
      <c r="I20" t="s">
        <v>64</v>
      </c>
      <c r="J20" s="34"/>
      <c r="K20" s="46">
        <f>N10*N11</f>
        <v>6321587.3342909999</v>
      </c>
      <c r="L20" s="9">
        <f>K20/K21</f>
        <v>0.99486050345321575</v>
      </c>
    </row>
    <row r="21" spans="2:12">
      <c r="B21" s="22" t="s">
        <v>49</v>
      </c>
      <c r="C21" s="22"/>
      <c r="D21" s="123">
        <f>'Beta 2'!Q22</f>
        <v>-6.0441020975721116E-4</v>
      </c>
      <c r="I21" s="35" t="s">
        <v>51</v>
      </c>
      <c r="J21" s="35"/>
      <c r="K21" s="40">
        <f>K20+K19</f>
        <v>6354244.954291</v>
      </c>
      <c r="L21" s="36">
        <f>K21/K21</f>
        <v>1</v>
      </c>
    </row>
    <row r="22" spans="2:12">
      <c r="B22" t="s">
        <v>47</v>
      </c>
      <c r="D22" s="29">
        <f>D19+(D20*D21)</f>
        <v>7.1652795562617957E-2</v>
      </c>
    </row>
    <row r="24" spans="2:12">
      <c r="I24" s="37" t="s">
        <v>52</v>
      </c>
      <c r="J24" s="37"/>
      <c r="K24" s="38">
        <f>K19/K20</f>
        <v>5.1660474297097929E-3</v>
      </c>
      <c r="L24" s="38"/>
    </row>
    <row r="26" spans="2:12">
      <c r="D26" s="9"/>
    </row>
    <row r="28" spans="2:12">
      <c r="I28" s="32" t="s">
        <v>55</v>
      </c>
      <c r="J28" s="15"/>
      <c r="K28" s="15"/>
      <c r="L28" s="83"/>
    </row>
    <row r="30" spans="2:12">
      <c r="J30" s="22" t="s">
        <v>56</v>
      </c>
      <c r="K30" s="22" t="s">
        <v>57</v>
      </c>
    </row>
    <row r="31" spans="2:12">
      <c r="I31" t="s">
        <v>58</v>
      </c>
      <c r="J31" s="9">
        <f>F13</f>
        <v>8.5483387950499756E-2</v>
      </c>
      <c r="K31" s="9">
        <v>0.29349999999999998</v>
      </c>
    </row>
    <row r="32" spans="2:12">
      <c r="I32" t="s">
        <v>59</v>
      </c>
      <c r="J32" s="9">
        <f>D22</f>
        <v>7.1652795562617957E-2</v>
      </c>
      <c r="K32" s="14">
        <f>1-K31</f>
        <v>0.70650000000000002</v>
      </c>
    </row>
    <row r="33" spans="2:11">
      <c r="I33" s="20" t="s">
        <v>60</v>
      </c>
      <c r="J33" s="116">
        <f>(J31*K31)+(J32*K32)</f>
        <v>7.5712074428461271E-2</v>
      </c>
      <c r="K33" s="116"/>
    </row>
    <row r="39" spans="2:11">
      <c r="C39">
        <v>1</v>
      </c>
      <c r="D39" s="24" t="s">
        <v>43</v>
      </c>
      <c r="E39" s="24"/>
      <c r="F39" s="24"/>
      <c r="G39" s="24"/>
    </row>
    <row r="40" spans="2:11">
      <c r="B40" s="124" t="s">
        <v>130</v>
      </c>
      <c r="C40">
        <v>2</v>
      </c>
      <c r="D40" s="24" t="s">
        <v>46</v>
      </c>
    </row>
    <row r="41" spans="2:11">
      <c r="C41">
        <v>3</v>
      </c>
      <c r="D41" s="24" t="s">
        <v>46</v>
      </c>
    </row>
    <row r="42" spans="2:11">
      <c r="C42">
        <v>4</v>
      </c>
      <c r="D42" s="24" t="s">
        <v>65</v>
      </c>
    </row>
  </sheetData>
  <mergeCells count="3">
    <mergeCell ref="B1:I4"/>
    <mergeCell ref="R1:V1"/>
    <mergeCell ref="J33:K3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6"/>
  <sheetViews>
    <sheetView tabSelected="1" zoomScaleNormal="100" workbookViewId="0">
      <selection activeCell="A20" sqref="A20"/>
    </sheetView>
  </sheetViews>
  <sheetFormatPr defaultRowHeight="15.75"/>
  <cols>
    <col min="4" max="4" width="13.125" customWidth="1"/>
    <col min="5" max="6" width="12" bestFit="1" customWidth="1"/>
    <col min="7" max="7" width="11" bestFit="1" customWidth="1"/>
    <col min="8" max="8" width="11" customWidth="1"/>
    <col min="9" max="9" width="11" bestFit="1" customWidth="1"/>
    <col min="10" max="10" width="13.125" bestFit="1" customWidth="1"/>
    <col min="11" max="11" width="11" bestFit="1" customWidth="1"/>
    <col min="16" max="16" width="16.25" customWidth="1"/>
    <col min="22" max="22" width="10" bestFit="1" customWidth="1"/>
  </cols>
  <sheetData>
    <row r="1" spans="2:35">
      <c r="F1" s="63"/>
      <c r="P1" s="64" t="s">
        <v>77</v>
      </c>
      <c r="U1" s="64" t="s">
        <v>78</v>
      </c>
      <c r="Y1" s="64" t="s">
        <v>79</v>
      </c>
      <c r="AF1" t="s">
        <v>126</v>
      </c>
    </row>
    <row r="2" spans="2:35">
      <c r="D2" s="65">
        <v>2022</v>
      </c>
      <c r="E2" s="65">
        <f>D2+1</f>
        <v>2023</v>
      </c>
      <c r="F2" s="65">
        <f t="shared" ref="F2:J2" si="0">E2+1</f>
        <v>2024</v>
      </c>
      <c r="G2" s="65">
        <f t="shared" si="0"/>
        <v>2025</v>
      </c>
      <c r="H2" s="65">
        <f t="shared" si="0"/>
        <v>2026</v>
      </c>
      <c r="I2" s="65">
        <f t="shared" si="0"/>
        <v>2027</v>
      </c>
      <c r="J2" s="65">
        <f t="shared" si="0"/>
        <v>2028</v>
      </c>
      <c r="K2" s="65" t="s">
        <v>80</v>
      </c>
      <c r="P2" s="66"/>
      <c r="Q2" s="65">
        <v>2022</v>
      </c>
      <c r="R2" s="65">
        <f>Q2+1</f>
        <v>2023</v>
      </c>
      <c r="S2" s="65">
        <f t="shared" ref="S2" si="1">R2+1</f>
        <v>2024</v>
      </c>
      <c r="U2" s="65">
        <v>2021</v>
      </c>
      <c r="V2" s="65">
        <v>2022</v>
      </c>
      <c r="W2" s="65">
        <v>2023</v>
      </c>
      <c r="Y2" s="65">
        <v>2021</v>
      </c>
      <c r="Z2" s="65">
        <v>2022</v>
      </c>
      <c r="AA2" s="65">
        <v>2023</v>
      </c>
      <c r="AG2" s="65">
        <v>2022</v>
      </c>
      <c r="AH2" s="65">
        <v>2023</v>
      </c>
      <c r="AI2" s="65">
        <v>2024</v>
      </c>
    </row>
    <row r="3" spans="2:35">
      <c r="B3" s="119" t="s">
        <v>81</v>
      </c>
      <c r="C3" s="119"/>
      <c r="D3" s="91">
        <v>-122000</v>
      </c>
      <c r="E3" s="91">
        <v>-94000</v>
      </c>
      <c r="F3" s="91">
        <v>-43000</v>
      </c>
      <c r="G3" s="92">
        <f>F3*(1+$Q$12)</f>
        <v>-45150</v>
      </c>
      <c r="H3" s="92">
        <f>G3*(1+$Q$12)</f>
        <v>-47407.5</v>
      </c>
      <c r="I3" s="92">
        <f>H3*(1+$Q$12)</f>
        <v>-49777.875</v>
      </c>
      <c r="J3" s="92">
        <f>I3*(1+$Q$12)</f>
        <v>-52266.768750000003</v>
      </c>
      <c r="K3" s="91"/>
      <c r="P3" s="65" t="s">
        <v>82</v>
      </c>
      <c r="Q3">
        <v>12431000</v>
      </c>
      <c r="R3" s="66">
        <v>13725000</v>
      </c>
      <c r="S3">
        <v>16034000</v>
      </c>
      <c r="U3" s="66">
        <f>D8</f>
        <v>-428000</v>
      </c>
      <c r="V3" s="66">
        <f>E8</f>
        <v>-431000</v>
      </c>
      <c r="W3" s="66">
        <f>F8</f>
        <v>-485000</v>
      </c>
      <c r="Y3" s="68">
        <f>D4</f>
        <v>27000</v>
      </c>
      <c r="Z3" s="68">
        <f>E4</f>
        <v>34000</v>
      </c>
      <c r="AA3" s="68">
        <f>F4</f>
        <v>6000</v>
      </c>
      <c r="AE3" s="119" t="s">
        <v>125</v>
      </c>
      <c r="AF3" s="119"/>
      <c r="AG3" s="66">
        <f>D6</f>
        <v>-3045000</v>
      </c>
      <c r="AH3" s="66">
        <f>E6</f>
        <v>-3282000</v>
      </c>
      <c r="AI3" s="66">
        <f>F6</f>
        <v>-3488000</v>
      </c>
    </row>
    <row r="4" spans="2:35">
      <c r="B4" s="119" t="s">
        <v>83</v>
      </c>
      <c r="C4" s="119"/>
      <c r="D4" s="92">
        <v>27000</v>
      </c>
      <c r="E4" s="92">
        <v>34000</v>
      </c>
      <c r="F4" s="92">
        <v>6000</v>
      </c>
      <c r="G4" s="92">
        <f>G3*$Q$14</f>
        <v>-11287.5</v>
      </c>
      <c r="H4" s="92">
        <f>H3*$Q$14</f>
        <v>-11851.875</v>
      </c>
      <c r="I4" s="92">
        <f>I3*$Q$14</f>
        <v>-12444.46875</v>
      </c>
      <c r="J4" s="92">
        <f>J3*$Q$14</f>
        <v>-13066.692187500001</v>
      </c>
      <c r="K4" s="91"/>
      <c r="P4" s="65" t="s">
        <v>84</v>
      </c>
      <c r="Q4" s="66">
        <f>4328.47</f>
        <v>4328.47</v>
      </c>
      <c r="R4" s="66">
        <f>5019.22</f>
        <v>5019.22</v>
      </c>
      <c r="S4" s="66">
        <f>4153.19</f>
        <v>4153.1899999999996</v>
      </c>
      <c r="U4" s="66"/>
      <c r="V4" s="69"/>
      <c r="W4" s="69"/>
      <c r="X4" t="s">
        <v>86</v>
      </c>
      <c r="Y4" s="69">
        <f>D4/D3</f>
        <v>-0.22131147540983606</v>
      </c>
      <c r="Z4" s="69">
        <f>E4/E3</f>
        <v>-0.36170212765957449</v>
      </c>
      <c r="AA4" s="69">
        <f>F4/F3</f>
        <v>-0.13953488372093023</v>
      </c>
      <c r="AE4" s="119" t="s">
        <v>90</v>
      </c>
      <c r="AF4" s="119"/>
      <c r="AG4" s="66">
        <f>AVERAGE(AG3:AI3)</f>
        <v>-3271666.6666666665</v>
      </c>
      <c r="AH4" s="66"/>
      <c r="AI4" s="66"/>
    </row>
    <row r="5" spans="2:35">
      <c r="B5" s="119" t="s">
        <v>88</v>
      </c>
      <c r="C5" s="119"/>
      <c r="D5" s="92">
        <f>D3-D4</f>
        <v>-149000</v>
      </c>
      <c r="E5" s="92">
        <f t="shared" ref="E5:J5" si="2">E3-E4</f>
        <v>-128000</v>
      </c>
      <c r="F5" s="92">
        <f t="shared" si="2"/>
        <v>-49000</v>
      </c>
      <c r="G5" s="92">
        <f t="shared" si="2"/>
        <v>-33862.5</v>
      </c>
      <c r="H5" s="92">
        <f t="shared" si="2"/>
        <v>-35555.625</v>
      </c>
      <c r="I5" s="92">
        <f t="shared" si="2"/>
        <v>-37333.40625</v>
      </c>
      <c r="J5" s="92">
        <f t="shared" si="2"/>
        <v>-39200.076562500006</v>
      </c>
      <c r="K5" s="91"/>
      <c r="P5" s="65" t="s">
        <v>89</v>
      </c>
      <c r="Q5" s="66">
        <f t="shared" ref="Q5" si="3">Q3-Q4</f>
        <v>12426671.529999999</v>
      </c>
      <c r="R5" s="66">
        <f>R3-R4</f>
        <v>13719980.779999999</v>
      </c>
      <c r="S5" s="66">
        <f t="shared" ref="S5" si="4">S3-S4</f>
        <v>16029846.810000001</v>
      </c>
      <c r="U5" t="s">
        <v>90</v>
      </c>
      <c r="V5" s="84">
        <f>AVERAGE(U3:W3)</f>
        <v>-448000</v>
      </c>
      <c r="Y5" t="s">
        <v>90</v>
      </c>
      <c r="Z5" s="62">
        <f>AVERAGE(Y4:AA4)</f>
        <v>-0.24084949559678026</v>
      </c>
      <c r="AE5" s="122"/>
      <c r="AF5" s="122"/>
      <c r="AG5" s="96"/>
      <c r="AH5" s="96"/>
      <c r="AI5" s="96"/>
    </row>
    <row r="6" spans="2:35">
      <c r="B6" s="119" t="s">
        <v>87</v>
      </c>
      <c r="C6" s="119"/>
      <c r="D6" s="91">
        <v>-3045000</v>
      </c>
      <c r="E6" s="91">
        <v>-3282000</v>
      </c>
      <c r="F6" s="91">
        <v>-3488000</v>
      </c>
      <c r="G6" s="92">
        <v>-3271666.6666666665</v>
      </c>
      <c r="H6" s="92">
        <v>-3271666.6666666665</v>
      </c>
      <c r="I6" s="92">
        <v>-3271666.6666666665</v>
      </c>
      <c r="J6" s="92">
        <v>-3271666.6666666665</v>
      </c>
      <c r="K6" s="91"/>
      <c r="P6" s="64" t="s">
        <v>91</v>
      </c>
      <c r="R6">
        <f>R5-Q5</f>
        <v>1293309.25</v>
      </c>
      <c r="S6">
        <f>S5-R5</f>
        <v>2309866.0300000012</v>
      </c>
      <c r="AG6" s="62"/>
    </row>
    <row r="7" spans="2:35">
      <c r="B7" s="119" t="s">
        <v>92</v>
      </c>
      <c r="C7" s="119"/>
      <c r="D7" s="92">
        <f>D5+D6</f>
        <v>-3194000</v>
      </c>
      <c r="E7" s="92">
        <f t="shared" ref="E7:J7" si="5">E5+E6</f>
        <v>-3410000</v>
      </c>
      <c r="F7" s="92">
        <f t="shared" si="5"/>
        <v>-3537000</v>
      </c>
      <c r="G7" s="92">
        <f t="shared" si="5"/>
        <v>-3305529.1666666665</v>
      </c>
      <c r="H7" s="92">
        <f t="shared" si="5"/>
        <v>-3307222.2916666665</v>
      </c>
      <c r="I7" s="92">
        <f t="shared" si="5"/>
        <v>-3309000.0729166665</v>
      </c>
      <c r="J7" s="92">
        <f t="shared" si="5"/>
        <v>-3310866.7432291666</v>
      </c>
      <c r="K7" s="91"/>
      <c r="P7" s="70" t="s">
        <v>93</v>
      </c>
      <c r="Q7">
        <f>AVERAGE(R6:S6)</f>
        <v>1801587.6400000006</v>
      </c>
    </row>
    <row r="8" spans="2:35">
      <c r="B8" s="119" t="s">
        <v>94</v>
      </c>
      <c r="C8" s="119"/>
      <c r="D8" s="91">
        <v>-428000</v>
      </c>
      <c r="E8" s="91">
        <v>-431000</v>
      </c>
      <c r="F8" s="91">
        <v>-485000</v>
      </c>
      <c r="G8" s="92">
        <f>V5</f>
        <v>-448000</v>
      </c>
      <c r="H8" s="92">
        <f>G8</f>
        <v>-448000</v>
      </c>
      <c r="I8" s="92">
        <f>H8</f>
        <v>-448000</v>
      </c>
      <c r="J8" s="92">
        <f>I8</f>
        <v>-448000</v>
      </c>
      <c r="K8" s="91"/>
      <c r="P8" s="66" t="s">
        <v>95</v>
      </c>
      <c r="Q8" s="71">
        <f>Wacc2!F13</f>
        <v>8.5483387950499756E-2</v>
      </c>
    </row>
    <row r="9" spans="2:35">
      <c r="B9" s="119" t="s">
        <v>96</v>
      </c>
      <c r="C9" s="119"/>
      <c r="D9" s="91">
        <f>Q5</f>
        <v>12426671.529999999</v>
      </c>
      <c r="E9" s="91">
        <f t="shared" ref="E9:F9" si="6">R5</f>
        <v>13719980.779999999</v>
      </c>
      <c r="F9" s="91">
        <f t="shared" si="6"/>
        <v>16029846.810000001</v>
      </c>
      <c r="G9" s="91">
        <f>Q7</f>
        <v>1801587.6400000006</v>
      </c>
      <c r="H9" s="91">
        <f>G9</f>
        <v>1801587.6400000006</v>
      </c>
      <c r="I9" s="91">
        <f>H9</f>
        <v>1801587.6400000006</v>
      </c>
      <c r="J9" s="91">
        <f>I9</f>
        <v>1801587.6400000006</v>
      </c>
      <c r="K9" s="91"/>
      <c r="P9" s="66" t="s">
        <v>97</v>
      </c>
      <c r="Q9" s="72">
        <f>Wacc2!D22</f>
        <v>7.1652795562617957E-2</v>
      </c>
    </row>
    <row r="10" spans="2:35">
      <c r="B10" s="119" t="s">
        <v>98</v>
      </c>
      <c r="C10" s="119"/>
      <c r="D10" s="92">
        <f>D7-(D8+D9)</f>
        <v>-15192671.529999999</v>
      </c>
      <c r="E10" s="92">
        <f t="shared" ref="E10:J10" si="7">E7-(E8+E9)</f>
        <v>-16698980.779999999</v>
      </c>
      <c r="F10" s="92">
        <f t="shared" si="7"/>
        <v>-19081846.810000002</v>
      </c>
      <c r="G10" s="92">
        <f t="shared" si="7"/>
        <v>-4659116.8066666666</v>
      </c>
      <c r="H10" s="92">
        <f t="shared" si="7"/>
        <v>-4660809.9316666666</v>
      </c>
      <c r="I10" s="92">
        <f t="shared" si="7"/>
        <v>-4662587.7129166666</v>
      </c>
      <c r="J10" s="92">
        <f t="shared" si="7"/>
        <v>-4664454.3832291672</v>
      </c>
      <c r="K10" s="92">
        <f>J10*(1+Q13)</f>
        <v>-4944321.6462229174</v>
      </c>
      <c r="P10" s="66" t="s">
        <v>99</v>
      </c>
      <c r="Q10" s="71">
        <f>Wacc2!K31</f>
        <v>0.29349999999999998</v>
      </c>
    </row>
    <row r="11" spans="2:35">
      <c r="B11" s="119" t="s">
        <v>100</v>
      </c>
      <c r="C11" s="119"/>
      <c r="D11" s="91"/>
      <c r="E11" s="91"/>
      <c r="F11" s="91"/>
      <c r="G11" s="91"/>
      <c r="H11" s="91"/>
      <c r="I11" s="91"/>
      <c r="J11" s="92">
        <f>Q16</f>
        <v>-123608041.15557294</v>
      </c>
      <c r="K11" s="91"/>
      <c r="P11" s="66" t="s">
        <v>101</v>
      </c>
      <c r="Q11" s="73">
        <f>Wacc2!K32</f>
        <v>0.70650000000000002</v>
      </c>
    </row>
    <row r="12" spans="2:35">
      <c r="B12" s="119" t="s">
        <v>102</v>
      </c>
      <c r="C12" s="119"/>
      <c r="D12" s="92">
        <f>D10</f>
        <v>-15192671.529999999</v>
      </c>
      <c r="E12" s="92">
        <f t="shared" ref="E12:I12" si="8">E10</f>
        <v>-16698980.779999999</v>
      </c>
      <c r="F12" s="92">
        <f t="shared" si="8"/>
        <v>-19081846.810000002</v>
      </c>
      <c r="G12" s="92">
        <f t="shared" si="8"/>
        <v>-4659116.8066666666</v>
      </c>
      <c r="H12" s="92">
        <f t="shared" si="8"/>
        <v>-4660809.9316666666</v>
      </c>
      <c r="I12" s="92">
        <f t="shared" si="8"/>
        <v>-4662587.7129166666</v>
      </c>
      <c r="J12" s="92">
        <f>J11+J10</f>
        <v>-128272495.5388021</v>
      </c>
      <c r="K12" s="91"/>
      <c r="P12" s="66" t="s">
        <v>103</v>
      </c>
      <c r="Q12" s="71">
        <v>0.05</v>
      </c>
    </row>
    <row r="13" spans="2:35">
      <c r="B13" s="119" t="s">
        <v>104</v>
      </c>
      <c r="C13" s="119"/>
      <c r="D13" s="92">
        <f>NPV(Q15,D12:J12)</f>
        <v>-113850601.44064081</v>
      </c>
      <c r="E13" s="93" t="s">
        <v>119</v>
      </c>
      <c r="F13" s="93"/>
      <c r="G13" s="93"/>
      <c r="H13" s="93"/>
      <c r="I13" s="93"/>
      <c r="J13" s="93"/>
      <c r="K13" s="93"/>
      <c r="P13" s="66" t="s">
        <v>105</v>
      </c>
      <c r="Q13" s="71">
        <v>0.06</v>
      </c>
      <c r="R13" t="s">
        <v>106</v>
      </c>
    </row>
    <row r="14" spans="2:35">
      <c r="B14" s="120" t="s">
        <v>107</v>
      </c>
      <c r="C14" s="121"/>
      <c r="D14" s="92">
        <v>3034000</v>
      </c>
      <c r="E14" s="93"/>
      <c r="F14" s="93"/>
      <c r="G14" s="93"/>
      <c r="H14" s="93"/>
      <c r="I14" s="93"/>
      <c r="J14" s="93"/>
      <c r="K14" s="93"/>
      <c r="P14" s="66" t="s">
        <v>83</v>
      </c>
      <c r="Q14" s="71">
        <v>0.25</v>
      </c>
    </row>
    <row r="15" spans="2:35">
      <c r="B15" s="119" t="s">
        <v>108</v>
      </c>
      <c r="C15" s="119"/>
      <c r="D15" s="94">
        <f>(D13-D14)</f>
        <v>-116884601.44064081</v>
      </c>
      <c r="E15" s="93"/>
      <c r="F15" s="93"/>
      <c r="G15" s="93"/>
      <c r="H15" s="93"/>
      <c r="I15" s="93"/>
      <c r="J15" s="93"/>
      <c r="K15" s="93"/>
      <c r="P15" s="66" t="s">
        <v>60</v>
      </c>
      <c r="Q15" s="71">
        <f>10.5%</f>
        <v>0.105</v>
      </c>
    </row>
    <row r="16" spans="2:35">
      <c r="B16" s="120" t="s">
        <v>109</v>
      </c>
      <c r="C16" s="121"/>
      <c r="D16" s="92">
        <v>33780000</v>
      </c>
      <c r="E16" s="93"/>
      <c r="F16" s="93"/>
      <c r="G16" s="93"/>
      <c r="H16" s="93"/>
      <c r="I16" s="93"/>
      <c r="J16" s="93"/>
      <c r="K16" s="93"/>
      <c r="P16" s="74" t="s">
        <v>110</v>
      </c>
      <c r="Q16" s="75">
        <f>K10*25</f>
        <v>-123608041.15557294</v>
      </c>
    </row>
    <row r="17" spans="2:17">
      <c r="B17" s="119" t="s">
        <v>111</v>
      </c>
      <c r="C17" s="119"/>
      <c r="D17" s="95">
        <f>D15/D16</f>
        <v>-3.4601717418780584</v>
      </c>
      <c r="E17" s="93"/>
      <c r="F17" s="93"/>
      <c r="G17" s="93"/>
      <c r="H17" s="93"/>
      <c r="I17" s="93"/>
      <c r="J17" s="93"/>
      <c r="K17" s="93"/>
    </row>
    <row r="18" spans="2:17">
      <c r="Q18" s="9"/>
    </row>
    <row r="19" spans="2:17">
      <c r="B19" t="s">
        <v>120</v>
      </c>
      <c r="C19" t="s">
        <v>121</v>
      </c>
      <c r="Q19" s="9"/>
    </row>
    <row r="21" spans="2:17" ht="18.75">
      <c r="B21" s="90" t="s">
        <v>122</v>
      </c>
      <c r="C21" s="90" t="s">
        <v>123</v>
      </c>
      <c r="D21" s="90"/>
      <c r="E21" s="90"/>
      <c r="F21" s="90"/>
      <c r="G21" s="90"/>
    </row>
    <row r="22" spans="2:17" ht="18.75">
      <c r="C22" s="90" t="s">
        <v>124</v>
      </c>
      <c r="D22" s="90"/>
      <c r="E22" s="90"/>
      <c r="F22" s="90"/>
    </row>
    <row r="31" spans="2:17">
      <c r="F31" s="76"/>
    </row>
    <row r="32" spans="2:17">
      <c r="E32" s="8"/>
    </row>
    <row r="33" spans="5:11">
      <c r="E33" s="8"/>
    </row>
    <row r="34" spans="5:11">
      <c r="E34" s="8"/>
      <c r="K34" s="8"/>
    </row>
    <row r="35" spans="5:11">
      <c r="E35" s="8"/>
      <c r="K35" s="8"/>
    </row>
    <row r="36" spans="5:11">
      <c r="K36" s="8"/>
    </row>
  </sheetData>
  <mergeCells count="18">
    <mergeCell ref="B3:C3"/>
    <mergeCell ref="AE3:AF3"/>
    <mergeCell ref="B4:C4"/>
    <mergeCell ref="AE4:AF4"/>
    <mergeCell ref="B5:C5"/>
    <mergeCell ref="AE5:AF5"/>
    <mergeCell ref="B17:C17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HAVELLS</vt:lpstr>
      <vt:lpstr>Beta 1</vt:lpstr>
      <vt:lpstr>WACC 1</vt:lpstr>
      <vt:lpstr>DCF 1</vt:lpstr>
      <vt:lpstr>ALSTOM</vt:lpstr>
      <vt:lpstr>Beta 2</vt:lpstr>
      <vt:lpstr>Wacc2</vt:lpstr>
      <vt:lpstr>DCF 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LENOVO</cp:lastModifiedBy>
  <dcterms:created xsi:type="dcterms:W3CDTF">2024-01-29T15:21:28Z</dcterms:created>
  <dcterms:modified xsi:type="dcterms:W3CDTF">2024-07-27T14:23:39Z</dcterms:modified>
</cp:coreProperties>
</file>